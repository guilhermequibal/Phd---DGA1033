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\Downloads\RAG\"/>
    </mc:Choice>
  </mc:AlternateContent>
  <xr:revisionPtr revIDLastSave="0" documentId="13_ncr:20001_{CD7D8EDD-9898-4522-A91B-8F1E00D37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 Comparison" sheetId="12" r:id="rId1"/>
    <sheet name="RAG Run 1" sheetId="1" r:id="rId2"/>
    <sheet name="RAG Run 2" sheetId="2" r:id="rId3"/>
    <sheet name="RAG Run 3" sheetId="3" r:id="rId4"/>
    <sheet name="RAG Run 4" sheetId="4" r:id="rId5"/>
    <sheet name="RAG Run 5" sheetId="5" r:id="rId6"/>
    <sheet name="Zero Shot Run 1" sheetId="6" r:id="rId7"/>
    <sheet name="Zero Shot Run 2" sheetId="7" r:id="rId8"/>
    <sheet name="Zero Shot Run 3" sheetId="8" r:id="rId9"/>
    <sheet name="Zero Shot Run 4" sheetId="9" r:id="rId10"/>
    <sheet name="Zero Shot Run 5" sheetId="10" r:id="rId11"/>
  </sheets>
  <definedNames>
    <definedName name="_xlnm._FilterDatabase" localSheetId="1" hidden="1">'RAG Run 1'!$A$1:$V$48</definedName>
    <definedName name="_xlnm._FilterDatabase" localSheetId="2" hidden="1">'RAG Run 2'!$A$1:$V$48</definedName>
    <definedName name="_xlnm._FilterDatabase" localSheetId="3" hidden="1">'RAG Run 3'!$A$1:$V$48</definedName>
    <definedName name="_xlnm._FilterDatabase" localSheetId="4" hidden="1">'RAG Run 4'!$A$1:$V$48</definedName>
    <definedName name="_xlnm._FilterDatabase" localSheetId="5" hidden="1">'RAG Run 5'!$A$1:$V$48</definedName>
    <definedName name="_xlnm._FilterDatabase" localSheetId="6" hidden="1">'Zero Shot Run 1'!$A$1:$V$36</definedName>
    <definedName name="_xlnm._FilterDatabase" localSheetId="7" hidden="1">'Zero Shot Run 2'!$A$1:$V$36</definedName>
    <definedName name="_xlnm._FilterDatabase" localSheetId="8" hidden="1">'Zero Shot Run 3'!$A$1:$V$36</definedName>
    <definedName name="_xlnm._FilterDatabase" localSheetId="9" hidden="1">'Zero Shot Run 4'!$A$1:$V$36</definedName>
    <definedName name="_xlnm._FilterDatabase" localSheetId="10" hidden="1">'Zero Shot Run 5'!$A$1:$V$36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0" i="12" l="1"/>
  <c r="E410" i="12"/>
  <c r="F410" i="12"/>
  <c r="G410" i="12"/>
  <c r="H410" i="12"/>
  <c r="D411" i="12"/>
  <c r="E411" i="12"/>
  <c r="F411" i="12"/>
  <c r="G411" i="12"/>
  <c r="H411" i="12"/>
  <c r="D412" i="12"/>
  <c r="E412" i="12"/>
  <c r="F412" i="12"/>
  <c r="G412" i="12"/>
  <c r="H412" i="12"/>
  <c r="D413" i="12"/>
  <c r="E413" i="12"/>
  <c r="F413" i="12"/>
  <c r="G413" i="12"/>
  <c r="H413" i="12"/>
  <c r="D414" i="12"/>
  <c r="E414" i="12"/>
  <c r="F414" i="12"/>
  <c r="G414" i="12"/>
  <c r="H414" i="12"/>
  <c r="D415" i="12"/>
  <c r="E415" i="12"/>
  <c r="F415" i="12"/>
  <c r="G415" i="12"/>
  <c r="H415" i="12"/>
  <c r="D416" i="12"/>
  <c r="E416" i="12"/>
  <c r="F416" i="12"/>
  <c r="G416" i="12"/>
  <c r="H416" i="12"/>
  <c r="D417" i="12"/>
  <c r="E417" i="12"/>
  <c r="F417" i="12"/>
  <c r="G417" i="12"/>
  <c r="H417" i="12"/>
  <c r="D418" i="12"/>
  <c r="E418" i="12"/>
  <c r="F418" i="12"/>
  <c r="G418" i="12"/>
  <c r="H418" i="12"/>
  <c r="D419" i="12"/>
  <c r="E419" i="12"/>
  <c r="F419" i="12"/>
  <c r="G419" i="12"/>
  <c r="H419" i="12"/>
  <c r="D420" i="12"/>
  <c r="E420" i="12"/>
  <c r="F420" i="12"/>
  <c r="G420" i="12"/>
  <c r="H420" i="12"/>
  <c r="D421" i="12"/>
  <c r="E421" i="12"/>
  <c r="F421" i="12"/>
  <c r="G421" i="12"/>
  <c r="H421" i="12"/>
  <c r="D422" i="12"/>
  <c r="E422" i="12"/>
  <c r="F422" i="12"/>
  <c r="G422" i="12"/>
  <c r="H422" i="12"/>
  <c r="D423" i="12"/>
  <c r="E423" i="12"/>
  <c r="F423" i="12"/>
  <c r="G423" i="12"/>
  <c r="H423" i="12"/>
  <c r="D424" i="12"/>
  <c r="E424" i="12"/>
  <c r="F424" i="12"/>
  <c r="G424" i="12"/>
  <c r="H424" i="12"/>
  <c r="D425" i="12"/>
  <c r="E425" i="12"/>
  <c r="F425" i="12"/>
  <c r="G425" i="12"/>
  <c r="H425" i="12"/>
  <c r="D426" i="12"/>
  <c r="E426" i="12"/>
  <c r="F426" i="12"/>
  <c r="G426" i="12"/>
  <c r="H426" i="12"/>
  <c r="D427" i="12"/>
  <c r="E427" i="12"/>
  <c r="F427" i="12"/>
  <c r="G427" i="12"/>
  <c r="H427" i="12"/>
  <c r="D428" i="12"/>
  <c r="E428" i="12"/>
  <c r="F428" i="12"/>
  <c r="G428" i="12"/>
  <c r="H428" i="12"/>
  <c r="D429" i="12"/>
  <c r="E429" i="12"/>
  <c r="F429" i="12"/>
  <c r="G429" i="12"/>
  <c r="H429" i="12"/>
  <c r="D430" i="12"/>
  <c r="E430" i="12"/>
  <c r="F430" i="12"/>
  <c r="G430" i="12"/>
  <c r="H430" i="12"/>
  <c r="D431" i="12"/>
  <c r="E431" i="12"/>
  <c r="F431" i="12"/>
  <c r="G431" i="12"/>
  <c r="H431" i="12"/>
  <c r="D432" i="12"/>
  <c r="E432" i="12"/>
  <c r="F432" i="12"/>
  <c r="G432" i="12"/>
  <c r="H432" i="12"/>
  <c r="D433" i="12"/>
  <c r="E433" i="12"/>
  <c r="F433" i="12"/>
  <c r="G433" i="12"/>
  <c r="H433" i="12"/>
  <c r="D434" i="12"/>
  <c r="I434" i="12" s="1"/>
  <c r="E434" i="12"/>
  <c r="F434" i="12"/>
  <c r="G434" i="12"/>
  <c r="H434" i="12"/>
  <c r="D435" i="12"/>
  <c r="I435" i="12" s="1"/>
  <c r="E435" i="12"/>
  <c r="F435" i="12"/>
  <c r="G435" i="12"/>
  <c r="H435" i="12"/>
  <c r="D436" i="12"/>
  <c r="I436" i="12" s="1"/>
  <c r="E436" i="12"/>
  <c r="F436" i="12"/>
  <c r="G436" i="12"/>
  <c r="H436" i="12"/>
  <c r="D437" i="12"/>
  <c r="I437" i="12" s="1"/>
  <c r="E437" i="12"/>
  <c r="F437" i="12"/>
  <c r="G437" i="12"/>
  <c r="H437" i="12"/>
  <c r="D438" i="12"/>
  <c r="I438" i="12" s="1"/>
  <c r="E438" i="12"/>
  <c r="F438" i="12"/>
  <c r="G438" i="12"/>
  <c r="H438" i="12"/>
  <c r="D439" i="12"/>
  <c r="I439" i="12" s="1"/>
  <c r="E439" i="12"/>
  <c r="F439" i="12"/>
  <c r="G439" i="12"/>
  <c r="H439" i="12"/>
  <c r="D440" i="12"/>
  <c r="I440" i="12" s="1"/>
  <c r="E440" i="12"/>
  <c r="F440" i="12"/>
  <c r="G440" i="12"/>
  <c r="H440" i="12"/>
  <c r="D441" i="12"/>
  <c r="I441" i="12" s="1"/>
  <c r="E441" i="12"/>
  <c r="F441" i="12"/>
  <c r="G441" i="12"/>
  <c r="H441" i="12"/>
  <c r="D442" i="12"/>
  <c r="I442" i="12" s="1"/>
  <c r="E442" i="12"/>
  <c r="F442" i="12"/>
  <c r="G442" i="12"/>
  <c r="H442" i="12"/>
  <c r="D443" i="12"/>
  <c r="I443" i="12" s="1"/>
  <c r="E443" i="12"/>
  <c r="F443" i="12"/>
  <c r="G443" i="12"/>
  <c r="H443" i="12"/>
  <c r="D444" i="12"/>
  <c r="I444" i="12" s="1"/>
  <c r="E444" i="12"/>
  <c r="F444" i="12"/>
  <c r="G444" i="12"/>
  <c r="H444" i="12"/>
  <c r="D372" i="12"/>
  <c r="I372" i="12" s="1"/>
  <c r="E372" i="12"/>
  <c r="F372" i="12"/>
  <c r="G372" i="12"/>
  <c r="H372" i="12"/>
  <c r="D373" i="12"/>
  <c r="I373" i="12" s="1"/>
  <c r="E373" i="12"/>
  <c r="F373" i="12"/>
  <c r="G373" i="12"/>
  <c r="H373" i="12"/>
  <c r="D374" i="12"/>
  <c r="I374" i="12" s="1"/>
  <c r="E374" i="12"/>
  <c r="F374" i="12"/>
  <c r="G374" i="12"/>
  <c r="H374" i="12"/>
  <c r="D375" i="12"/>
  <c r="I375" i="12" s="1"/>
  <c r="E375" i="12"/>
  <c r="F375" i="12"/>
  <c r="G375" i="12"/>
  <c r="H375" i="12"/>
  <c r="D376" i="12"/>
  <c r="I376" i="12" s="1"/>
  <c r="E376" i="12"/>
  <c r="F376" i="12"/>
  <c r="G376" i="12"/>
  <c r="H376" i="12"/>
  <c r="D377" i="12"/>
  <c r="I377" i="12" s="1"/>
  <c r="E377" i="12"/>
  <c r="F377" i="12"/>
  <c r="G377" i="12"/>
  <c r="H377" i="12"/>
  <c r="D378" i="12"/>
  <c r="I378" i="12" s="1"/>
  <c r="E378" i="12"/>
  <c r="F378" i="12"/>
  <c r="G378" i="12"/>
  <c r="H378" i="12"/>
  <c r="D379" i="12"/>
  <c r="I379" i="12" s="1"/>
  <c r="E379" i="12"/>
  <c r="F379" i="12"/>
  <c r="G379" i="12"/>
  <c r="H379" i="12"/>
  <c r="D380" i="12"/>
  <c r="I380" i="12" s="1"/>
  <c r="E380" i="12"/>
  <c r="F380" i="12"/>
  <c r="G380" i="12"/>
  <c r="H380" i="12"/>
  <c r="D381" i="12"/>
  <c r="I381" i="12" s="1"/>
  <c r="E381" i="12"/>
  <c r="F381" i="12"/>
  <c r="G381" i="12"/>
  <c r="H381" i="12"/>
  <c r="D382" i="12"/>
  <c r="I382" i="12" s="1"/>
  <c r="E382" i="12"/>
  <c r="F382" i="12"/>
  <c r="G382" i="12"/>
  <c r="H382" i="12"/>
  <c r="D383" i="12"/>
  <c r="I383" i="12" s="1"/>
  <c r="E383" i="12"/>
  <c r="F383" i="12"/>
  <c r="G383" i="12"/>
  <c r="H383" i="12"/>
  <c r="D384" i="12"/>
  <c r="I384" i="12" s="1"/>
  <c r="E384" i="12"/>
  <c r="F384" i="12"/>
  <c r="G384" i="12"/>
  <c r="H384" i="12"/>
  <c r="D385" i="12"/>
  <c r="E385" i="12"/>
  <c r="F385" i="12"/>
  <c r="G385" i="12"/>
  <c r="H385" i="12"/>
  <c r="D386" i="12"/>
  <c r="E386" i="12"/>
  <c r="F386" i="12"/>
  <c r="G386" i="12"/>
  <c r="H386" i="12"/>
  <c r="D387" i="12"/>
  <c r="E387" i="12"/>
  <c r="F387" i="12"/>
  <c r="G387" i="12"/>
  <c r="H387" i="12"/>
  <c r="D388" i="12"/>
  <c r="E388" i="12"/>
  <c r="F388" i="12"/>
  <c r="G388" i="12"/>
  <c r="H388" i="12"/>
  <c r="D389" i="12"/>
  <c r="E389" i="12"/>
  <c r="F389" i="12"/>
  <c r="G389" i="12"/>
  <c r="H389" i="12"/>
  <c r="D390" i="12"/>
  <c r="E390" i="12"/>
  <c r="F390" i="12"/>
  <c r="G390" i="12"/>
  <c r="H390" i="12"/>
  <c r="D391" i="12"/>
  <c r="E391" i="12"/>
  <c r="F391" i="12"/>
  <c r="G391" i="12"/>
  <c r="H391" i="12"/>
  <c r="D392" i="12"/>
  <c r="E392" i="12"/>
  <c r="F392" i="12"/>
  <c r="G392" i="12"/>
  <c r="H392" i="12"/>
  <c r="D393" i="12"/>
  <c r="E393" i="12"/>
  <c r="F393" i="12"/>
  <c r="G393" i="12"/>
  <c r="H393" i="12"/>
  <c r="D394" i="12"/>
  <c r="E394" i="12"/>
  <c r="F394" i="12"/>
  <c r="G394" i="12"/>
  <c r="H394" i="12"/>
  <c r="D395" i="12"/>
  <c r="E395" i="12"/>
  <c r="F395" i="12"/>
  <c r="G395" i="12"/>
  <c r="H395" i="12"/>
  <c r="D396" i="12"/>
  <c r="E396" i="12"/>
  <c r="F396" i="12"/>
  <c r="G396" i="12"/>
  <c r="H396" i="12"/>
  <c r="D397" i="12"/>
  <c r="E397" i="12"/>
  <c r="F397" i="12"/>
  <c r="G397" i="12"/>
  <c r="H397" i="12"/>
  <c r="D398" i="12"/>
  <c r="E398" i="12"/>
  <c r="F398" i="12"/>
  <c r="G398" i="12"/>
  <c r="H398" i="12"/>
  <c r="D399" i="12"/>
  <c r="E399" i="12"/>
  <c r="F399" i="12"/>
  <c r="G399" i="12"/>
  <c r="H399" i="12"/>
  <c r="D400" i="12"/>
  <c r="E400" i="12"/>
  <c r="F400" i="12"/>
  <c r="G400" i="12"/>
  <c r="H400" i="12"/>
  <c r="D401" i="12"/>
  <c r="E401" i="12"/>
  <c r="F401" i="12"/>
  <c r="G401" i="12"/>
  <c r="H401" i="12"/>
  <c r="D402" i="12"/>
  <c r="E402" i="12"/>
  <c r="F402" i="12"/>
  <c r="G402" i="12"/>
  <c r="H402" i="12"/>
  <c r="D403" i="12"/>
  <c r="E403" i="12"/>
  <c r="F403" i="12"/>
  <c r="G403" i="12"/>
  <c r="H403" i="12"/>
  <c r="D404" i="12"/>
  <c r="E404" i="12"/>
  <c r="F404" i="12"/>
  <c r="G404" i="12"/>
  <c r="H404" i="12"/>
  <c r="D405" i="12"/>
  <c r="E405" i="12"/>
  <c r="F405" i="12"/>
  <c r="G405" i="12"/>
  <c r="H405" i="12"/>
  <c r="D406" i="12"/>
  <c r="E406" i="12"/>
  <c r="F406" i="12"/>
  <c r="G406" i="12"/>
  <c r="H406" i="12"/>
  <c r="D334" i="12"/>
  <c r="E334" i="12"/>
  <c r="F334" i="12"/>
  <c r="G334" i="12"/>
  <c r="H334" i="12"/>
  <c r="D335" i="12"/>
  <c r="E335" i="12"/>
  <c r="F335" i="12"/>
  <c r="G335" i="12"/>
  <c r="H335" i="12"/>
  <c r="D336" i="12"/>
  <c r="E336" i="12"/>
  <c r="F336" i="12"/>
  <c r="G336" i="12"/>
  <c r="H336" i="12"/>
  <c r="D337" i="12"/>
  <c r="E337" i="12"/>
  <c r="F337" i="12"/>
  <c r="G337" i="12"/>
  <c r="H337" i="12"/>
  <c r="D338" i="12"/>
  <c r="E338" i="12"/>
  <c r="F338" i="12"/>
  <c r="G338" i="12"/>
  <c r="H338" i="12"/>
  <c r="D339" i="12"/>
  <c r="E339" i="12"/>
  <c r="F339" i="12"/>
  <c r="G339" i="12"/>
  <c r="H339" i="12"/>
  <c r="D340" i="12"/>
  <c r="E340" i="12"/>
  <c r="F340" i="12"/>
  <c r="G340" i="12"/>
  <c r="H340" i="12"/>
  <c r="D341" i="12"/>
  <c r="E341" i="12"/>
  <c r="F341" i="12"/>
  <c r="G341" i="12"/>
  <c r="H341" i="12"/>
  <c r="D342" i="12"/>
  <c r="E342" i="12"/>
  <c r="F342" i="12"/>
  <c r="G342" i="12"/>
  <c r="H342" i="12"/>
  <c r="D343" i="12"/>
  <c r="E343" i="12"/>
  <c r="F343" i="12"/>
  <c r="G343" i="12"/>
  <c r="H343" i="12"/>
  <c r="D344" i="12"/>
  <c r="E344" i="12"/>
  <c r="F344" i="12"/>
  <c r="G344" i="12"/>
  <c r="H344" i="12"/>
  <c r="D345" i="12"/>
  <c r="E345" i="12"/>
  <c r="F345" i="12"/>
  <c r="G345" i="12"/>
  <c r="H345" i="12"/>
  <c r="D346" i="12"/>
  <c r="E346" i="12"/>
  <c r="F346" i="12"/>
  <c r="G346" i="12"/>
  <c r="H346" i="12"/>
  <c r="D347" i="12"/>
  <c r="E347" i="12"/>
  <c r="F347" i="12"/>
  <c r="G347" i="12"/>
  <c r="H347" i="12"/>
  <c r="D348" i="12"/>
  <c r="I348" i="12" s="1"/>
  <c r="E348" i="12"/>
  <c r="F348" i="12"/>
  <c r="G348" i="12"/>
  <c r="H348" i="12"/>
  <c r="D349" i="12"/>
  <c r="I349" i="12" s="1"/>
  <c r="E349" i="12"/>
  <c r="F349" i="12"/>
  <c r="G349" i="12"/>
  <c r="H349" i="12"/>
  <c r="D350" i="12"/>
  <c r="I350" i="12" s="1"/>
  <c r="E350" i="12"/>
  <c r="F350" i="12"/>
  <c r="G350" i="12"/>
  <c r="H350" i="12"/>
  <c r="D351" i="12"/>
  <c r="I351" i="12" s="1"/>
  <c r="E351" i="12"/>
  <c r="F351" i="12"/>
  <c r="G351" i="12"/>
  <c r="H351" i="12"/>
  <c r="D352" i="12"/>
  <c r="I352" i="12" s="1"/>
  <c r="E352" i="12"/>
  <c r="F352" i="12"/>
  <c r="G352" i="12"/>
  <c r="H352" i="12"/>
  <c r="D353" i="12"/>
  <c r="I353" i="12" s="1"/>
  <c r="E353" i="12"/>
  <c r="F353" i="12"/>
  <c r="G353" i="12"/>
  <c r="H353" i="12"/>
  <c r="D354" i="12"/>
  <c r="I354" i="12" s="1"/>
  <c r="E354" i="12"/>
  <c r="F354" i="12"/>
  <c r="G354" i="12"/>
  <c r="H354" i="12"/>
  <c r="D355" i="12"/>
  <c r="I355" i="12" s="1"/>
  <c r="E355" i="12"/>
  <c r="F355" i="12"/>
  <c r="G355" i="12"/>
  <c r="H355" i="12"/>
  <c r="D356" i="12"/>
  <c r="I356" i="12" s="1"/>
  <c r="E356" i="12"/>
  <c r="F356" i="12"/>
  <c r="G356" i="12"/>
  <c r="H356" i="12"/>
  <c r="D357" i="12"/>
  <c r="I357" i="12" s="1"/>
  <c r="E357" i="12"/>
  <c r="F357" i="12"/>
  <c r="G357" i="12"/>
  <c r="H357" i="12"/>
  <c r="D358" i="12"/>
  <c r="I358" i="12" s="1"/>
  <c r="E358" i="12"/>
  <c r="F358" i="12"/>
  <c r="G358" i="12"/>
  <c r="H358" i="12"/>
  <c r="D359" i="12"/>
  <c r="I359" i="12" s="1"/>
  <c r="E359" i="12"/>
  <c r="F359" i="12"/>
  <c r="G359" i="12"/>
  <c r="H359" i="12"/>
  <c r="D360" i="12"/>
  <c r="E360" i="12"/>
  <c r="F360" i="12"/>
  <c r="G360" i="12"/>
  <c r="H360" i="12"/>
  <c r="D361" i="12"/>
  <c r="E361" i="12"/>
  <c r="F361" i="12"/>
  <c r="G361" i="12"/>
  <c r="H361" i="12"/>
  <c r="D362" i="12"/>
  <c r="E362" i="12"/>
  <c r="F362" i="12"/>
  <c r="G362" i="12"/>
  <c r="H362" i="12"/>
  <c r="D363" i="12"/>
  <c r="E363" i="12"/>
  <c r="F363" i="12"/>
  <c r="G363" i="12"/>
  <c r="H363" i="12"/>
  <c r="D364" i="12"/>
  <c r="E364" i="12"/>
  <c r="F364" i="12"/>
  <c r="G364" i="12"/>
  <c r="H364" i="12"/>
  <c r="D365" i="12"/>
  <c r="E365" i="12"/>
  <c r="F365" i="12"/>
  <c r="G365" i="12"/>
  <c r="H365" i="12"/>
  <c r="D366" i="12"/>
  <c r="E366" i="12"/>
  <c r="F366" i="12"/>
  <c r="G366" i="12"/>
  <c r="H366" i="12"/>
  <c r="D367" i="12"/>
  <c r="E367" i="12"/>
  <c r="F367" i="12"/>
  <c r="G367" i="12"/>
  <c r="H367" i="12"/>
  <c r="D368" i="12"/>
  <c r="E368" i="12"/>
  <c r="F368" i="12"/>
  <c r="G368" i="12"/>
  <c r="H368" i="12"/>
  <c r="D296" i="12"/>
  <c r="E296" i="12"/>
  <c r="F296" i="12"/>
  <c r="G296" i="12"/>
  <c r="H296" i="12"/>
  <c r="D297" i="12"/>
  <c r="E297" i="12"/>
  <c r="F297" i="12"/>
  <c r="G297" i="12"/>
  <c r="H297" i="12"/>
  <c r="D298" i="12"/>
  <c r="E298" i="12"/>
  <c r="F298" i="12"/>
  <c r="G298" i="12"/>
  <c r="H298" i="12"/>
  <c r="D299" i="12"/>
  <c r="E299" i="12"/>
  <c r="F299" i="12"/>
  <c r="G299" i="12"/>
  <c r="H299" i="12"/>
  <c r="D300" i="12"/>
  <c r="E300" i="12"/>
  <c r="F300" i="12"/>
  <c r="G300" i="12"/>
  <c r="H300" i="12"/>
  <c r="D301" i="12"/>
  <c r="E301" i="12"/>
  <c r="F301" i="12"/>
  <c r="G301" i="12"/>
  <c r="H301" i="12"/>
  <c r="D302" i="12"/>
  <c r="E302" i="12"/>
  <c r="F302" i="12"/>
  <c r="G302" i="12"/>
  <c r="H302" i="12"/>
  <c r="D303" i="12"/>
  <c r="E303" i="12"/>
  <c r="F303" i="12"/>
  <c r="G303" i="12"/>
  <c r="H303" i="12"/>
  <c r="D304" i="12"/>
  <c r="E304" i="12"/>
  <c r="F304" i="12"/>
  <c r="G304" i="12"/>
  <c r="H304" i="12"/>
  <c r="D305" i="12"/>
  <c r="E305" i="12"/>
  <c r="F305" i="12"/>
  <c r="G305" i="12"/>
  <c r="H305" i="12"/>
  <c r="D306" i="12"/>
  <c r="E306" i="12"/>
  <c r="F306" i="12"/>
  <c r="G306" i="12"/>
  <c r="H306" i="12"/>
  <c r="D307" i="12"/>
  <c r="E307" i="12"/>
  <c r="F307" i="12"/>
  <c r="G307" i="12"/>
  <c r="H307" i="12"/>
  <c r="D308" i="12"/>
  <c r="E308" i="12"/>
  <c r="F308" i="12"/>
  <c r="G308" i="12"/>
  <c r="H308" i="12"/>
  <c r="D309" i="12"/>
  <c r="E309" i="12"/>
  <c r="F309" i="12"/>
  <c r="G309" i="12"/>
  <c r="H309" i="12"/>
  <c r="D310" i="12"/>
  <c r="E310" i="12"/>
  <c r="F310" i="12"/>
  <c r="G310" i="12"/>
  <c r="H310" i="12"/>
  <c r="D311" i="12"/>
  <c r="E311" i="12"/>
  <c r="F311" i="12"/>
  <c r="G311" i="12"/>
  <c r="H311" i="12"/>
  <c r="D312" i="12"/>
  <c r="E312" i="12"/>
  <c r="F312" i="12"/>
  <c r="G312" i="12"/>
  <c r="H312" i="12"/>
  <c r="D313" i="12"/>
  <c r="E313" i="12"/>
  <c r="F313" i="12"/>
  <c r="G313" i="12"/>
  <c r="H313" i="12"/>
  <c r="D314" i="12"/>
  <c r="E314" i="12"/>
  <c r="F314" i="12"/>
  <c r="G314" i="12"/>
  <c r="H314" i="12"/>
  <c r="D315" i="12"/>
  <c r="E315" i="12"/>
  <c r="F315" i="12"/>
  <c r="G315" i="12"/>
  <c r="H315" i="12"/>
  <c r="D316" i="12"/>
  <c r="E316" i="12"/>
  <c r="F316" i="12"/>
  <c r="G316" i="12"/>
  <c r="H316" i="12"/>
  <c r="D317" i="12"/>
  <c r="E317" i="12"/>
  <c r="F317" i="12"/>
  <c r="G317" i="12"/>
  <c r="H317" i="12"/>
  <c r="D318" i="12"/>
  <c r="E318" i="12"/>
  <c r="F318" i="12"/>
  <c r="G318" i="12"/>
  <c r="H318" i="12"/>
  <c r="D319" i="12"/>
  <c r="E319" i="12"/>
  <c r="F319" i="12"/>
  <c r="G319" i="12"/>
  <c r="H319" i="12"/>
  <c r="D320" i="12"/>
  <c r="E320" i="12"/>
  <c r="F320" i="12"/>
  <c r="G320" i="12"/>
  <c r="H320" i="12"/>
  <c r="D321" i="12"/>
  <c r="E321" i="12"/>
  <c r="F321" i="12"/>
  <c r="G321" i="12"/>
  <c r="H321" i="12"/>
  <c r="D322" i="12"/>
  <c r="E322" i="12"/>
  <c r="F322" i="12"/>
  <c r="G322" i="12"/>
  <c r="H322" i="12"/>
  <c r="D323" i="12"/>
  <c r="E323" i="12"/>
  <c r="F323" i="12"/>
  <c r="G323" i="12"/>
  <c r="H323" i="12"/>
  <c r="D324" i="12"/>
  <c r="E324" i="12"/>
  <c r="F324" i="12"/>
  <c r="G324" i="12"/>
  <c r="H324" i="12"/>
  <c r="D325" i="12"/>
  <c r="E325" i="12"/>
  <c r="F325" i="12"/>
  <c r="G325" i="12"/>
  <c r="H325" i="12"/>
  <c r="D326" i="12"/>
  <c r="E326" i="12"/>
  <c r="F326" i="12"/>
  <c r="G326" i="12"/>
  <c r="H326" i="12"/>
  <c r="D327" i="12"/>
  <c r="E327" i="12"/>
  <c r="F327" i="12"/>
  <c r="G327" i="12"/>
  <c r="H327" i="12"/>
  <c r="D328" i="12"/>
  <c r="E328" i="12"/>
  <c r="F328" i="12"/>
  <c r="G328" i="12"/>
  <c r="H328" i="12"/>
  <c r="D329" i="12"/>
  <c r="E329" i="12"/>
  <c r="F329" i="12"/>
  <c r="G329" i="12"/>
  <c r="H329" i="12"/>
  <c r="D330" i="12"/>
  <c r="E330" i="12"/>
  <c r="F330" i="12"/>
  <c r="G330" i="12"/>
  <c r="H330" i="12"/>
  <c r="D258" i="12"/>
  <c r="E258" i="12"/>
  <c r="F258" i="12"/>
  <c r="G258" i="12"/>
  <c r="H258" i="12"/>
  <c r="D259" i="12"/>
  <c r="E259" i="12"/>
  <c r="F259" i="12"/>
  <c r="G259" i="12"/>
  <c r="H259" i="12"/>
  <c r="D260" i="12"/>
  <c r="E260" i="12"/>
  <c r="F260" i="12"/>
  <c r="G260" i="12"/>
  <c r="H260" i="12"/>
  <c r="D261" i="12"/>
  <c r="E261" i="12"/>
  <c r="F261" i="12"/>
  <c r="G261" i="12"/>
  <c r="H261" i="12"/>
  <c r="D262" i="12"/>
  <c r="E262" i="12"/>
  <c r="F262" i="12"/>
  <c r="G262" i="12"/>
  <c r="H262" i="12"/>
  <c r="D263" i="12"/>
  <c r="E263" i="12"/>
  <c r="F263" i="12"/>
  <c r="G263" i="12"/>
  <c r="H263" i="12"/>
  <c r="D264" i="12"/>
  <c r="E264" i="12"/>
  <c r="F264" i="12"/>
  <c r="G264" i="12"/>
  <c r="H264" i="12"/>
  <c r="D265" i="12"/>
  <c r="E265" i="12"/>
  <c r="F265" i="12"/>
  <c r="G265" i="12"/>
  <c r="H265" i="12"/>
  <c r="D266" i="12"/>
  <c r="E266" i="12"/>
  <c r="F266" i="12"/>
  <c r="G266" i="12"/>
  <c r="H266" i="12"/>
  <c r="D267" i="12"/>
  <c r="E267" i="12"/>
  <c r="F267" i="12"/>
  <c r="G267" i="12"/>
  <c r="H267" i="12"/>
  <c r="D268" i="12"/>
  <c r="E268" i="12"/>
  <c r="F268" i="12"/>
  <c r="G268" i="12"/>
  <c r="H268" i="12"/>
  <c r="D269" i="12"/>
  <c r="E269" i="12"/>
  <c r="F269" i="12"/>
  <c r="G269" i="12"/>
  <c r="H269" i="12"/>
  <c r="D270" i="12"/>
  <c r="E270" i="12"/>
  <c r="F270" i="12"/>
  <c r="G270" i="12"/>
  <c r="H270" i="12"/>
  <c r="D271" i="12"/>
  <c r="E271" i="12"/>
  <c r="F271" i="12"/>
  <c r="G271" i="12"/>
  <c r="H271" i="12"/>
  <c r="D272" i="12"/>
  <c r="E272" i="12"/>
  <c r="F272" i="12"/>
  <c r="G272" i="12"/>
  <c r="H272" i="12"/>
  <c r="D273" i="12"/>
  <c r="E273" i="12"/>
  <c r="F273" i="12"/>
  <c r="G273" i="12"/>
  <c r="H273" i="12"/>
  <c r="D274" i="12"/>
  <c r="E274" i="12"/>
  <c r="F274" i="12"/>
  <c r="G274" i="12"/>
  <c r="H274" i="12"/>
  <c r="D275" i="12"/>
  <c r="E275" i="12"/>
  <c r="F275" i="12"/>
  <c r="G275" i="12"/>
  <c r="H275" i="12"/>
  <c r="D276" i="12"/>
  <c r="E276" i="12"/>
  <c r="F276" i="12"/>
  <c r="G276" i="12"/>
  <c r="H276" i="12"/>
  <c r="D277" i="12"/>
  <c r="E277" i="12"/>
  <c r="F277" i="12"/>
  <c r="G277" i="12"/>
  <c r="H277" i="12"/>
  <c r="D278" i="12"/>
  <c r="E278" i="12"/>
  <c r="F278" i="12"/>
  <c r="G278" i="12"/>
  <c r="H278" i="12"/>
  <c r="D279" i="12"/>
  <c r="E279" i="12"/>
  <c r="F279" i="12"/>
  <c r="G279" i="12"/>
  <c r="H279" i="12"/>
  <c r="D280" i="12"/>
  <c r="E280" i="12"/>
  <c r="F280" i="12"/>
  <c r="G280" i="12"/>
  <c r="H280" i="12"/>
  <c r="D281" i="12"/>
  <c r="E281" i="12"/>
  <c r="F281" i="12"/>
  <c r="G281" i="12"/>
  <c r="H281" i="12"/>
  <c r="D282" i="12"/>
  <c r="E282" i="12"/>
  <c r="F282" i="12"/>
  <c r="G282" i="12"/>
  <c r="H282" i="12"/>
  <c r="D283" i="12"/>
  <c r="E283" i="12"/>
  <c r="F283" i="12"/>
  <c r="G283" i="12"/>
  <c r="H283" i="12"/>
  <c r="D284" i="12"/>
  <c r="E284" i="12"/>
  <c r="F284" i="12"/>
  <c r="G284" i="12"/>
  <c r="H284" i="12"/>
  <c r="D285" i="12"/>
  <c r="E285" i="12"/>
  <c r="F285" i="12"/>
  <c r="G285" i="12"/>
  <c r="H285" i="12"/>
  <c r="D286" i="12"/>
  <c r="E286" i="12"/>
  <c r="F286" i="12"/>
  <c r="G286" i="12"/>
  <c r="H286" i="12"/>
  <c r="D287" i="12"/>
  <c r="E287" i="12"/>
  <c r="F287" i="12"/>
  <c r="G287" i="12"/>
  <c r="H287" i="12"/>
  <c r="D288" i="12"/>
  <c r="E288" i="12"/>
  <c r="F288" i="12"/>
  <c r="G288" i="12"/>
  <c r="H288" i="12"/>
  <c r="D289" i="12"/>
  <c r="E289" i="12"/>
  <c r="F289" i="12"/>
  <c r="G289" i="12"/>
  <c r="H289" i="12"/>
  <c r="D290" i="12"/>
  <c r="E290" i="12"/>
  <c r="F290" i="12"/>
  <c r="G290" i="12"/>
  <c r="H290" i="12"/>
  <c r="D291" i="12"/>
  <c r="E291" i="12"/>
  <c r="F291" i="12"/>
  <c r="G291" i="12"/>
  <c r="H291" i="12"/>
  <c r="D292" i="12"/>
  <c r="E292" i="12"/>
  <c r="F292" i="12"/>
  <c r="G292" i="12"/>
  <c r="H292" i="12"/>
  <c r="D207" i="12"/>
  <c r="E207" i="12"/>
  <c r="F207" i="12"/>
  <c r="G207" i="12"/>
  <c r="H207" i="12"/>
  <c r="D208" i="12"/>
  <c r="E208" i="12"/>
  <c r="F208" i="12"/>
  <c r="G208" i="12"/>
  <c r="H208" i="12"/>
  <c r="D209" i="12"/>
  <c r="E209" i="12"/>
  <c r="F209" i="12"/>
  <c r="G209" i="12"/>
  <c r="H209" i="12"/>
  <c r="D210" i="12"/>
  <c r="E210" i="12"/>
  <c r="F210" i="12"/>
  <c r="G210" i="12"/>
  <c r="H210" i="12"/>
  <c r="D211" i="12"/>
  <c r="E211" i="12"/>
  <c r="F211" i="12"/>
  <c r="G211" i="12"/>
  <c r="H211" i="12"/>
  <c r="D212" i="12"/>
  <c r="E212" i="12"/>
  <c r="F212" i="12"/>
  <c r="G212" i="12"/>
  <c r="H212" i="12"/>
  <c r="D213" i="12"/>
  <c r="E213" i="12"/>
  <c r="F213" i="12"/>
  <c r="G213" i="12"/>
  <c r="H213" i="12"/>
  <c r="D214" i="12"/>
  <c r="E214" i="12"/>
  <c r="F214" i="12"/>
  <c r="G214" i="12"/>
  <c r="H214" i="12"/>
  <c r="D215" i="12"/>
  <c r="E215" i="12"/>
  <c r="F215" i="12"/>
  <c r="G215" i="12"/>
  <c r="H215" i="12"/>
  <c r="D216" i="12"/>
  <c r="E216" i="12"/>
  <c r="F216" i="12"/>
  <c r="G216" i="12"/>
  <c r="H216" i="12"/>
  <c r="D217" i="12"/>
  <c r="E217" i="12"/>
  <c r="F217" i="12"/>
  <c r="G217" i="12"/>
  <c r="H217" i="12"/>
  <c r="D218" i="12"/>
  <c r="E218" i="12"/>
  <c r="F218" i="12"/>
  <c r="G218" i="12"/>
  <c r="H218" i="12"/>
  <c r="D219" i="12"/>
  <c r="E219" i="12"/>
  <c r="F219" i="12"/>
  <c r="G219" i="12"/>
  <c r="H219" i="12"/>
  <c r="D220" i="12"/>
  <c r="E220" i="12"/>
  <c r="F220" i="12"/>
  <c r="G220" i="12"/>
  <c r="H220" i="12"/>
  <c r="D221" i="12"/>
  <c r="E221" i="12"/>
  <c r="F221" i="12"/>
  <c r="G221" i="12"/>
  <c r="H221" i="12"/>
  <c r="D222" i="12"/>
  <c r="E222" i="12"/>
  <c r="F222" i="12"/>
  <c r="G222" i="12"/>
  <c r="H222" i="12"/>
  <c r="D223" i="12"/>
  <c r="E223" i="12"/>
  <c r="F223" i="12"/>
  <c r="G223" i="12"/>
  <c r="H223" i="12"/>
  <c r="D224" i="12"/>
  <c r="E224" i="12"/>
  <c r="F224" i="12"/>
  <c r="G224" i="12"/>
  <c r="H224" i="12"/>
  <c r="D225" i="12"/>
  <c r="E225" i="12"/>
  <c r="F225" i="12"/>
  <c r="G225" i="12"/>
  <c r="H225" i="12"/>
  <c r="D226" i="12"/>
  <c r="E226" i="12"/>
  <c r="F226" i="12"/>
  <c r="G226" i="12"/>
  <c r="H226" i="12"/>
  <c r="D227" i="12"/>
  <c r="E227" i="12"/>
  <c r="F227" i="12"/>
  <c r="G227" i="12"/>
  <c r="H227" i="12"/>
  <c r="D228" i="12"/>
  <c r="E228" i="12"/>
  <c r="F228" i="12"/>
  <c r="G228" i="12"/>
  <c r="H228" i="12"/>
  <c r="D229" i="12"/>
  <c r="E229" i="12"/>
  <c r="F229" i="12"/>
  <c r="G229" i="12"/>
  <c r="H229" i="12"/>
  <c r="D230" i="12"/>
  <c r="E230" i="12"/>
  <c r="F230" i="12"/>
  <c r="G230" i="12"/>
  <c r="H230" i="12"/>
  <c r="D231" i="12"/>
  <c r="E231" i="12"/>
  <c r="F231" i="12"/>
  <c r="G231" i="12"/>
  <c r="H231" i="12"/>
  <c r="D232" i="12"/>
  <c r="E232" i="12"/>
  <c r="F232" i="12"/>
  <c r="G232" i="12"/>
  <c r="H232" i="12"/>
  <c r="D233" i="12"/>
  <c r="E233" i="12"/>
  <c r="F233" i="12"/>
  <c r="G233" i="12"/>
  <c r="H233" i="12"/>
  <c r="D234" i="12"/>
  <c r="E234" i="12"/>
  <c r="F234" i="12"/>
  <c r="G234" i="12"/>
  <c r="H234" i="12"/>
  <c r="D235" i="12"/>
  <c r="I235" i="12" s="1"/>
  <c r="E235" i="12"/>
  <c r="F235" i="12"/>
  <c r="G235" i="12"/>
  <c r="H235" i="12"/>
  <c r="D236" i="12"/>
  <c r="I236" i="12" s="1"/>
  <c r="E236" i="12"/>
  <c r="F236" i="12"/>
  <c r="G236" i="12"/>
  <c r="H236" i="12"/>
  <c r="D237" i="12"/>
  <c r="I237" i="12" s="1"/>
  <c r="E237" i="12"/>
  <c r="F237" i="12"/>
  <c r="G237" i="12"/>
  <c r="H237" i="12"/>
  <c r="D238" i="12"/>
  <c r="I238" i="12" s="1"/>
  <c r="E238" i="12"/>
  <c r="F238" i="12"/>
  <c r="G238" i="12"/>
  <c r="H238" i="12"/>
  <c r="D239" i="12"/>
  <c r="I239" i="12" s="1"/>
  <c r="E239" i="12"/>
  <c r="F239" i="12"/>
  <c r="G239" i="12"/>
  <c r="H239" i="12"/>
  <c r="D240" i="12"/>
  <c r="I240" i="12" s="1"/>
  <c r="E240" i="12"/>
  <c r="F240" i="12"/>
  <c r="G240" i="12"/>
  <c r="H240" i="12"/>
  <c r="D241" i="12"/>
  <c r="I241" i="12" s="1"/>
  <c r="E241" i="12"/>
  <c r="F241" i="12"/>
  <c r="G241" i="12"/>
  <c r="H241" i="12"/>
  <c r="D242" i="12"/>
  <c r="I242" i="12" s="1"/>
  <c r="E242" i="12"/>
  <c r="F242" i="12"/>
  <c r="G242" i="12"/>
  <c r="H242" i="12"/>
  <c r="D243" i="12"/>
  <c r="I243" i="12" s="1"/>
  <c r="E243" i="12"/>
  <c r="F243" i="12"/>
  <c r="G243" i="12"/>
  <c r="H243" i="12"/>
  <c r="D244" i="12"/>
  <c r="I244" i="12" s="1"/>
  <c r="E244" i="12"/>
  <c r="F244" i="12"/>
  <c r="G244" i="12"/>
  <c r="H244" i="12"/>
  <c r="D245" i="12"/>
  <c r="I245" i="12" s="1"/>
  <c r="E245" i="12"/>
  <c r="F245" i="12"/>
  <c r="G245" i="12"/>
  <c r="H245" i="12"/>
  <c r="D246" i="12"/>
  <c r="I246" i="12" s="1"/>
  <c r="E246" i="12"/>
  <c r="F246" i="12"/>
  <c r="G246" i="12"/>
  <c r="H246" i="12"/>
  <c r="D247" i="12"/>
  <c r="I247" i="12" s="1"/>
  <c r="E247" i="12"/>
  <c r="F247" i="12"/>
  <c r="G247" i="12"/>
  <c r="H247" i="12"/>
  <c r="D248" i="12"/>
  <c r="I248" i="12" s="1"/>
  <c r="E248" i="12"/>
  <c r="F248" i="12"/>
  <c r="G248" i="12"/>
  <c r="H248" i="12"/>
  <c r="D249" i="12"/>
  <c r="I249" i="12" s="1"/>
  <c r="E249" i="12"/>
  <c r="F249" i="12"/>
  <c r="G249" i="12"/>
  <c r="H249" i="12"/>
  <c r="D250" i="12"/>
  <c r="I250" i="12" s="1"/>
  <c r="E250" i="12"/>
  <c r="F250" i="12"/>
  <c r="G250" i="12"/>
  <c r="H250" i="12"/>
  <c r="D251" i="12"/>
  <c r="I251" i="12" s="1"/>
  <c r="E251" i="12"/>
  <c r="F251" i="12"/>
  <c r="G251" i="12"/>
  <c r="H251" i="12"/>
  <c r="D252" i="12"/>
  <c r="I252" i="12" s="1"/>
  <c r="E252" i="12"/>
  <c r="F252" i="12"/>
  <c r="G252" i="12"/>
  <c r="H252" i="12"/>
  <c r="D253" i="12"/>
  <c r="I253" i="12" s="1"/>
  <c r="E253" i="12"/>
  <c r="F253" i="12"/>
  <c r="G253" i="12"/>
  <c r="H253" i="12"/>
  <c r="D157" i="12"/>
  <c r="I157" i="12" s="1"/>
  <c r="E157" i="12"/>
  <c r="F157" i="12"/>
  <c r="G157" i="12"/>
  <c r="H157" i="12"/>
  <c r="D158" i="12"/>
  <c r="I158" i="12" s="1"/>
  <c r="E158" i="12"/>
  <c r="F158" i="12"/>
  <c r="G158" i="12"/>
  <c r="H158" i="12"/>
  <c r="D159" i="12"/>
  <c r="I159" i="12" s="1"/>
  <c r="E159" i="12"/>
  <c r="F159" i="12"/>
  <c r="G159" i="12"/>
  <c r="H159" i="12"/>
  <c r="D160" i="12"/>
  <c r="I160" i="12" s="1"/>
  <c r="E160" i="12"/>
  <c r="F160" i="12"/>
  <c r="G160" i="12"/>
  <c r="H160" i="12"/>
  <c r="D161" i="12"/>
  <c r="I161" i="12" s="1"/>
  <c r="E161" i="12"/>
  <c r="F161" i="12"/>
  <c r="G161" i="12"/>
  <c r="H161" i="12"/>
  <c r="D162" i="12"/>
  <c r="I162" i="12" s="1"/>
  <c r="E162" i="12"/>
  <c r="F162" i="12"/>
  <c r="G162" i="12"/>
  <c r="H162" i="12"/>
  <c r="D163" i="12"/>
  <c r="I163" i="12" s="1"/>
  <c r="E163" i="12"/>
  <c r="F163" i="12"/>
  <c r="G163" i="12"/>
  <c r="H163" i="12"/>
  <c r="D164" i="12"/>
  <c r="I164" i="12" s="1"/>
  <c r="E164" i="12"/>
  <c r="F164" i="12"/>
  <c r="G164" i="12"/>
  <c r="H164" i="12"/>
  <c r="D165" i="12"/>
  <c r="I165" i="12" s="1"/>
  <c r="E165" i="12"/>
  <c r="F165" i="12"/>
  <c r="G165" i="12"/>
  <c r="H165" i="12"/>
  <c r="D166" i="12"/>
  <c r="I166" i="12" s="1"/>
  <c r="E166" i="12"/>
  <c r="F166" i="12"/>
  <c r="G166" i="12"/>
  <c r="H166" i="12"/>
  <c r="D167" i="12"/>
  <c r="I167" i="12" s="1"/>
  <c r="E167" i="12"/>
  <c r="F167" i="12"/>
  <c r="G167" i="12"/>
  <c r="H167" i="12"/>
  <c r="D168" i="12"/>
  <c r="I168" i="12" s="1"/>
  <c r="E168" i="12"/>
  <c r="F168" i="12"/>
  <c r="G168" i="12"/>
  <c r="H168" i="12"/>
  <c r="D169" i="12"/>
  <c r="I169" i="12" s="1"/>
  <c r="E169" i="12"/>
  <c r="F169" i="12"/>
  <c r="G169" i="12"/>
  <c r="H169" i="12"/>
  <c r="D170" i="12"/>
  <c r="I170" i="12" s="1"/>
  <c r="E170" i="12"/>
  <c r="F170" i="12"/>
  <c r="G170" i="12"/>
  <c r="H170" i="12"/>
  <c r="D171" i="12"/>
  <c r="I171" i="12" s="1"/>
  <c r="E171" i="12"/>
  <c r="F171" i="12"/>
  <c r="G171" i="12"/>
  <c r="H171" i="12"/>
  <c r="D172" i="12"/>
  <c r="I172" i="12" s="1"/>
  <c r="E172" i="12"/>
  <c r="F172" i="12"/>
  <c r="G172" i="12"/>
  <c r="H172" i="12"/>
  <c r="D173" i="12"/>
  <c r="I173" i="12" s="1"/>
  <c r="E173" i="12"/>
  <c r="F173" i="12"/>
  <c r="G173" i="12"/>
  <c r="H173" i="12"/>
  <c r="D174" i="12"/>
  <c r="E174" i="12"/>
  <c r="F174" i="12"/>
  <c r="G174" i="12"/>
  <c r="H174" i="12"/>
  <c r="D175" i="12"/>
  <c r="E175" i="12"/>
  <c r="F175" i="12"/>
  <c r="G175" i="12"/>
  <c r="H175" i="12"/>
  <c r="D176" i="12"/>
  <c r="E176" i="12"/>
  <c r="F176" i="12"/>
  <c r="G176" i="12"/>
  <c r="H176" i="12"/>
  <c r="D177" i="12"/>
  <c r="E177" i="12"/>
  <c r="F177" i="12"/>
  <c r="G177" i="12"/>
  <c r="H177" i="12"/>
  <c r="D178" i="12"/>
  <c r="E178" i="12"/>
  <c r="F178" i="12"/>
  <c r="G178" i="12"/>
  <c r="H178" i="12"/>
  <c r="D179" i="12"/>
  <c r="E179" i="12"/>
  <c r="F179" i="12"/>
  <c r="G179" i="12"/>
  <c r="H179" i="12"/>
  <c r="D180" i="12"/>
  <c r="E180" i="12"/>
  <c r="F180" i="12"/>
  <c r="G180" i="12"/>
  <c r="H180" i="12"/>
  <c r="D181" i="12"/>
  <c r="E181" i="12"/>
  <c r="F181" i="12"/>
  <c r="G181" i="12"/>
  <c r="H181" i="12"/>
  <c r="D182" i="12"/>
  <c r="E182" i="12"/>
  <c r="F182" i="12"/>
  <c r="G182" i="12"/>
  <c r="H182" i="12"/>
  <c r="D183" i="12"/>
  <c r="E183" i="12"/>
  <c r="F183" i="12"/>
  <c r="G183" i="12"/>
  <c r="H183" i="12"/>
  <c r="D184" i="12"/>
  <c r="E184" i="12"/>
  <c r="F184" i="12"/>
  <c r="G184" i="12"/>
  <c r="H184" i="12"/>
  <c r="D185" i="12"/>
  <c r="E185" i="12"/>
  <c r="F185" i="12"/>
  <c r="G185" i="12"/>
  <c r="H185" i="12"/>
  <c r="D186" i="12"/>
  <c r="E186" i="12"/>
  <c r="F186" i="12"/>
  <c r="G186" i="12"/>
  <c r="H186" i="12"/>
  <c r="D187" i="12"/>
  <c r="E187" i="12"/>
  <c r="F187" i="12"/>
  <c r="G187" i="12"/>
  <c r="H187" i="12"/>
  <c r="D188" i="12"/>
  <c r="E188" i="12"/>
  <c r="F188" i="12"/>
  <c r="G188" i="12"/>
  <c r="H188" i="12"/>
  <c r="D189" i="12"/>
  <c r="E189" i="12"/>
  <c r="F189" i="12"/>
  <c r="G189" i="12"/>
  <c r="H189" i="12"/>
  <c r="D190" i="12"/>
  <c r="E190" i="12"/>
  <c r="F190" i="12"/>
  <c r="G190" i="12"/>
  <c r="H190" i="12"/>
  <c r="D191" i="12"/>
  <c r="E191" i="12"/>
  <c r="F191" i="12"/>
  <c r="G191" i="12"/>
  <c r="H191" i="12"/>
  <c r="D192" i="12"/>
  <c r="E192" i="12"/>
  <c r="F192" i="12"/>
  <c r="G192" i="12"/>
  <c r="H192" i="12"/>
  <c r="D193" i="12"/>
  <c r="E193" i="12"/>
  <c r="F193" i="12"/>
  <c r="G193" i="12"/>
  <c r="H193" i="12"/>
  <c r="D194" i="12"/>
  <c r="E194" i="12"/>
  <c r="F194" i="12"/>
  <c r="G194" i="12"/>
  <c r="H194" i="12"/>
  <c r="D195" i="12"/>
  <c r="E195" i="12"/>
  <c r="F195" i="12"/>
  <c r="G195" i="12"/>
  <c r="H195" i="12"/>
  <c r="D196" i="12"/>
  <c r="E196" i="12"/>
  <c r="F196" i="12"/>
  <c r="G196" i="12"/>
  <c r="H196" i="12"/>
  <c r="D197" i="12"/>
  <c r="E197" i="12"/>
  <c r="F197" i="12"/>
  <c r="G197" i="12"/>
  <c r="H197" i="12"/>
  <c r="D198" i="12"/>
  <c r="I198" i="12" s="1"/>
  <c r="E198" i="12"/>
  <c r="F198" i="12"/>
  <c r="G198" i="12"/>
  <c r="H198" i="12"/>
  <c r="D199" i="12"/>
  <c r="I199" i="12" s="1"/>
  <c r="E199" i="12"/>
  <c r="F199" i="12"/>
  <c r="G199" i="12"/>
  <c r="H199" i="12"/>
  <c r="D200" i="12"/>
  <c r="I200" i="12" s="1"/>
  <c r="E200" i="12"/>
  <c r="F200" i="12"/>
  <c r="G200" i="12"/>
  <c r="H200" i="12"/>
  <c r="D201" i="12"/>
  <c r="I201" i="12" s="1"/>
  <c r="E201" i="12"/>
  <c r="F201" i="12"/>
  <c r="G201" i="12"/>
  <c r="H201" i="12"/>
  <c r="D202" i="12"/>
  <c r="I202" i="12" s="1"/>
  <c r="E202" i="12"/>
  <c r="F202" i="12"/>
  <c r="G202" i="12"/>
  <c r="H202" i="12"/>
  <c r="D203" i="12"/>
  <c r="I203" i="12" s="1"/>
  <c r="E203" i="12"/>
  <c r="F203" i="12"/>
  <c r="G203" i="12"/>
  <c r="H203" i="12"/>
  <c r="D107" i="12"/>
  <c r="I107" i="12" s="1"/>
  <c r="E107" i="12"/>
  <c r="F107" i="12"/>
  <c r="G107" i="12"/>
  <c r="H107" i="12"/>
  <c r="D108" i="12"/>
  <c r="I108" i="12" s="1"/>
  <c r="E108" i="12"/>
  <c r="F108" i="12"/>
  <c r="G108" i="12"/>
  <c r="H108" i="12"/>
  <c r="D109" i="12"/>
  <c r="I109" i="12" s="1"/>
  <c r="E109" i="12"/>
  <c r="F109" i="12"/>
  <c r="G109" i="12"/>
  <c r="H109" i="12"/>
  <c r="D110" i="12"/>
  <c r="I110" i="12" s="1"/>
  <c r="E110" i="12"/>
  <c r="F110" i="12"/>
  <c r="G110" i="12"/>
  <c r="H110" i="12"/>
  <c r="D111" i="12"/>
  <c r="I111" i="12" s="1"/>
  <c r="E111" i="12"/>
  <c r="F111" i="12"/>
  <c r="G111" i="12"/>
  <c r="H111" i="12"/>
  <c r="D112" i="12"/>
  <c r="I112" i="12" s="1"/>
  <c r="E112" i="12"/>
  <c r="F112" i="12"/>
  <c r="G112" i="12"/>
  <c r="H112" i="12"/>
  <c r="D113" i="12"/>
  <c r="I113" i="12" s="1"/>
  <c r="E113" i="12"/>
  <c r="F113" i="12"/>
  <c r="G113" i="12"/>
  <c r="H113" i="12"/>
  <c r="D114" i="12"/>
  <c r="I114" i="12" s="1"/>
  <c r="E114" i="12"/>
  <c r="F114" i="12"/>
  <c r="G114" i="12"/>
  <c r="H114" i="12"/>
  <c r="D115" i="12"/>
  <c r="I115" i="12" s="1"/>
  <c r="E115" i="12"/>
  <c r="F115" i="12"/>
  <c r="G115" i="12"/>
  <c r="H115" i="12"/>
  <c r="D116" i="12"/>
  <c r="I116" i="12" s="1"/>
  <c r="E116" i="12"/>
  <c r="F116" i="12"/>
  <c r="G116" i="12"/>
  <c r="H116" i="12"/>
  <c r="D117" i="12"/>
  <c r="I117" i="12" s="1"/>
  <c r="E117" i="12"/>
  <c r="F117" i="12"/>
  <c r="G117" i="12"/>
  <c r="H117" i="12"/>
  <c r="D118" i="12"/>
  <c r="I118" i="12" s="1"/>
  <c r="E118" i="12"/>
  <c r="F118" i="12"/>
  <c r="G118" i="12"/>
  <c r="H118" i="12"/>
  <c r="D119" i="12"/>
  <c r="I119" i="12" s="1"/>
  <c r="E119" i="12"/>
  <c r="F119" i="12"/>
  <c r="G119" i="12"/>
  <c r="H119" i="12"/>
  <c r="D120" i="12"/>
  <c r="I120" i="12" s="1"/>
  <c r="E120" i="12"/>
  <c r="F120" i="12"/>
  <c r="G120" i="12"/>
  <c r="H120" i="12"/>
  <c r="D121" i="12"/>
  <c r="I121" i="12" s="1"/>
  <c r="E121" i="12"/>
  <c r="F121" i="12"/>
  <c r="G121" i="12"/>
  <c r="H121" i="12"/>
  <c r="D122" i="12"/>
  <c r="I122" i="12" s="1"/>
  <c r="E122" i="12"/>
  <c r="F122" i="12"/>
  <c r="G122" i="12"/>
  <c r="H122" i="12"/>
  <c r="D123" i="12"/>
  <c r="I123" i="12" s="1"/>
  <c r="E123" i="12"/>
  <c r="F123" i="12"/>
  <c r="G123" i="12"/>
  <c r="H123" i="12"/>
  <c r="D124" i="12"/>
  <c r="I124" i="12" s="1"/>
  <c r="E124" i="12"/>
  <c r="F124" i="12"/>
  <c r="G124" i="12"/>
  <c r="H124" i="12"/>
  <c r="D125" i="12"/>
  <c r="I125" i="12" s="1"/>
  <c r="E125" i="12"/>
  <c r="F125" i="12"/>
  <c r="G125" i="12"/>
  <c r="H125" i="12"/>
  <c r="D126" i="12"/>
  <c r="I126" i="12" s="1"/>
  <c r="E126" i="12"/>
  <c r="F126" i="12"/>
  <c r="G126" i="12"/>
  <c r="H126" i="12"/>
  <c r="D127" i="12"/>
  <c r="I127" i="12" s="1"/>
  <c r="E127" i="12"/>
  <c r="F127" i="12"/>
  <c r="G127" i="12"/>
  <c r="H127" i="12"/>
  <c r="D128" i="12"/>
  <c r="I128" i="12" s="1"/>
  <c r="E128" i="12"/>
  <c r="F128" i="12"/>
  <c r="G128" i="12"/>
  <c r="H128" i="12"/>
  <c r="D129" i="12"/>
  <c r="I129" i="12" s="1"/>
  <c r="E129" i="12"/>
  <c r="F129" i="12"/>
  <c r="G129" i="12"/>
  <c r="H129" i="12"/>
  <c r="D130" i="12"/>
  <c r="I130" i="12" s="1"/>
  <c r="E130" i="12"/>
  <c r="F130" i="12"/>
  <c r="G130" i="12"/>
  <c r="H130" i="12"/>
  <c r="D131" i="12"/>
  <c r="I131" i="12" s="1"/>
  <c r="E131" i="12"/>
  <c r="F131" i="12"/>
  <c r="G131" i="12"/>
  <c r="H131" i="12"/>
  <c r="D132" i="12"/>
  <c r="I132" i="12" s="1"/>
  <c r="E132" i="12"/>
  <c r="F132" i="12"/>
  <c r="G132" i="12"/>
  <c r="H132" i="12"/>
  <c r="D133" i="12"/>
  <c r="I133" i="12" s="1"/>
  <c r="E133" i="12"/>
  <c r="F133" i="12"/>
  <c r="G133" i="12"/>
  <c r="H133" i="12"/>
  <c r="D134" i="12"/>
  <c r="I134" i="12" s="1"/>
  <c r="E134" i="12"/>
  <c r="F134" i="12"/>
  <c r="G134" i="12"/>
  <c r="H134" i="12"/>
  <c r="D135" i="12"/>
  <c r="I135" i="12" s="1"/>
  <c r="E135" i="12"/>
  <c r="F135" i="12"/>
  <c r="G135" i="12"/>
  <c r="H135" i="12"/>
  <c r="D136" i="12"/>
  <c r="I136" i="12" s="1"/>
  <c r="E136" i="12"/>
  <c r="F136" i="12"/>
  <c r="G136" i="12"/>
  <c r="H136" i="12"/>
  <c r="D137" i="12"/>
  <c r="I137" i="12" s="1"/>
  <c r="E137" i="12"/>
  <c r="F137" i="12"/>
  <c r="G137" i="12"/>
  <c r="H137" i="12"/>
  <c r="D138" i="12"/>
  <c r="I138" i="12" s="1"/>
  <c r="E138" i="12"/>
  <c r="F138" i="12"/>
  <c r="G138" i="12"/>
  <c r="H138" i="12"/>
  <c r="D139" i="12"/>
  <c r="I139" i="12" s="1"/>
  <c r="E139" i="12"/>
  <c r="F139" i="12"/>
  <c r="G139" i="12"/>
  <c r="H139" i="12"/>
  <c r="D140" i="12"/>
  <c r="I140" i="12" s="1"/>
  <c r="E140" i="12"/>
  <c r="F140" i="12"/>
  <c r="G140" i="12"/>
  <c r="H140" i="12"/>
  <c r="D141" i="12"/>
  <c r="I141" i="12" s="1"/>
  <c r="E141" i="12"/>
  <c r="F141" i="12"/>
  <c r="G141" i="12"/>
  <c r="H141" i="12"/>
  <c r="D142" i="12"/>
  <c r="I142" i="12" s="1"/>
  <c r="E142" i="12"/>
  <c r="F142" i="12"/>
  <c r="G142" i="12"/>
  <c r="H142" i="12"/>
  <c r="D143" i="12"/>
  <c r="I143" i="12" s="1"/>
  <c r="E143" i="12"/>
  <c r="F143" i="12"/>
  <c r="G143" i="12"/>
  <c r="H143" i="12"/>
  <c r="D144" i="12"/>
  <c r="I144" i="12" s="1"/>
  <c r="E144" i="12"/>
  <c r="F144" i="12"/>
  <c r="G144" i="12"/>
  <c r="H144" i="12"/>
  <c r="D145" i="12"/>
  <c r="I145" i="12" s="1"/>
  <c r="E145" i="12"/>
  <c r="F145" i="12"/>
  <c r="G145" i="12"/>
  <c r="H145" i="12"/>
  <c r="D146" i="12"/>
  <c r="I146" i="12" s="1"/>
  <c r="E146" i="12"/>
  <c r="F146" i="12"/>
  <c r="G146" i="12"/>
  <c r="H146" i="12"/>
  <c r="D147" i="12"/>
  <c r="I147" i="12" s="1"/>
  <c r="E147" i="12"/>
  <c r="F147" i="12"/>
  <c r="G147" i="12"/>
  <c r="H147" i="12"/>
  <c r="D148" i="12"/>
  <c r="I148" i="12" s="1"/>
  <c r="E148" i="12"/>
  <c r="F148" i="12"/>
  <c r="G148" i="12"/>
  <c r="H148" i="12"/>
  <c r="D149" i="12"/>
  <c r="I149" i="12" s="1"/>
  <c r="E149" i="12"/>
  <c r="F149" i="12"/>
  <c r="G149" i="12"/>
  <c r="H149" i="12"/>
  <c r="D150" i="12"/>
  <c r="I150" i="12" s="1"/>
  <c r="E150" i="12"/>
  <c r="F150" i="12"/>
  <c r="G150" i="12"/>
  <c r="H150" i="12"/>
  <c r="D151" i="12"/>
  <c r="I151" i="12" s="1"/>
  <c r="E151" i="12"/>
  <c r="F151" i="12"/>
  <c r="G151" i="12"/>
  <c r="H151" i="12"/>
  <c r="D152" i="12"/>
  <c r="I152" i="12" s="1"/>
  <c r="E152" i="12"/>
  <c r="F152" i="12"/>
  <c r="G152" i="12"/>
  <c r="H152" i="12"/>
  <c r="D153" i="12"/>
  <c r="I153" i="12" s="1"/>
  <c r="E153" i="12"/>
  <c r="F153" i="12"/>
  <c r="G153" i="12"/>
  <c r="H153" i="12"/>
  <c r="D57" i="12"/>
  <c r="I57" i="12" s="1"/>
  <c r="E57" i="12"/>
  <c r="F57" i="12"/>
  <c r="G57" i="12"/>
  <c r="H57" i="12"/>
  <c r="D58" i="12"/>
  <c r="I58" i="12" s="1"/>
  <c r="E58" i="12"/>
  <c r="F58" i="12"/>
  <c r="G58" i="12"/>
  <c r="H58" i="12"/>
  <c r="D59" i="12"/>
  <c r="I59" i="12" s="1"/>
  <c r="E59" i="12"/>
  <c r="F59" i="12"/>
  <c r="G59" i="12"/>
  <c r="H59" i="12"/>
  <c r="D60" i="12"/>
  <c r="I60" i="12" s="1"/>
  <c r="E60" i="12"/>
  <c r="F60" i="12"/>
  <c r="G60" i="12"/>
  <c r="H60" i="12"/>
  <c r="D61" i="12"/>
  <c r="I61" i="12" s="1"/>
  <c r="E61" i="12"/>
  <c r="F61" i="12"/>
  <c r="G61" i="12"/>
  <c r="H61" i="12"/>
  <c r="D62" i="12"/>
  <c r="I62" i="12" s="1"/>
  <c r="E62" i="12"/>
  <c r="F62" i="12"/>
  <c r="G62" i="12"/>
  <c r="H62" i="12"/>
  <c r="D63" i="12"/>
  <c r="I63" i="12" s="1"/>
  <c r="E63" i="12"/>
  <c r="F63" i="12"/>
  <c r="G63" i="12"/>
  <c r="H63" i="12"/>
  <c r="D64" i="12"/>
  <c r="I64" i="12" s="1"/>
  <c r="E64" i="12"/>
  <c r="F64" i="12"/>
  <c r="G64" i="12"/>
  <c r="H64" i="12"/>
  <c r="D65" i="12"/>
  <c r="I65" i="12" s="1"/>
  <c r="E65" i="12"/>
  <c r="F65" i="12"/>
  <c r="G65" i="12"/>
  <c r="H65" i="12"/>
  <c r="D66" i="12"/>
  <c r="I66" i="12" s="1"/>
  <c r="E66" i="12"/>
  <c r="F66" i="12"/>
  <c r="G66" i="12"/>
  <c r="H66" i="12"/>
  <c r="D67" i="12"/>
  <c r="I67" i="12" s="1"/>
  <c r="E67" i="12"/>
  <c r="F67" i="12"/>
  <c r="G67" i="12"/>
  <c r="H67" i="12"/>
  <c r="D68" i="12"/>
  <c r="I68" i="12" s="1"/>
  <c r="E68" i="12"/>
  <c r="F68" i="12"/>
  <c r="G68" i="12"/>
  <c r="H68" i="12"/>
  <c r="D69" i="12"/>
  <c r="I69" i="12" s="1"/>
  <c r="E69" i="12"/>
  <c r="F69" i="12"/>
  <c r="G69" i="12"/>
  <c r="H69" i="12"/>
  <c r="D70" i="12"/>
  <c r="I70" i="12" s="1"/>
  <c r="E70" i="12"/>
  <c r="F70" i="12"/>
  <c r="G70" i="12"/>
  <c r="H70" i="12"/>
  <c r="D71" i="12"/>
  <c r="I71" i="12" s="1"/>
  <c r="E71" i="12"/>
  <c r="F71" i="12"/>
  <c r="G71" i="12"/>
  <c r="H71" i="12"/>
  <c r="D72" i="12"/>
  <c r="I72" i="12" s="1"/>
  <c r="E72" i="12"/>
  <c r="F72" i="12"/>
  <c r="G72" i="12"/>
  <c r="H72" i="12"/>
  <c r="D73" i="12"/>
  <c r="I73" i="12" s="1"/>
  <c r="E73" i="12"/>
  <c r="F73" i="12"/>
  <c r="G73" i="12"/>
  <c r="H73" i="12"/>
  <c r="D74" i="12"/>
  <c r="I74" i="12" s="1"/>
  <c r="E74" i="12"/>
  <c r="F74" i="12"/>
  <c r="G74" i="12"/>
  <c r="H74" i="12"/>
  <c r="D75" i="12"/>
  <c r="I75" i="12" s="1"/>
  <c r="E75" i="12"/>
  <c r="F75" i="12"/>
  <c r="G75" i="12"/>
  <c r="H75" i="12"/>
  <c r="D76" i="12"/>
  <c r="I76" i="12" s="1"/>
  <c r="E76" i="12"/>
  <c r="F76" i="12"/>
  <c r="G76" i="12"/>
  <c r="H76" i="12"/>
  <c r="D77" i="12"/>
  <c r="I77" i="12" s="1"/>
  <c r="E77" i="12"/>
  <c r="F77" i="12"/>
  <c r="G77" i="12"/>
  <c r="H77" i="12"/>
  <c r="D78" i="12"/>
  <c r="I78" i="12" s="1"/>
  <c r="E78" i="12"/>
  <c r="F78" i="12"/>
  <c r="G78" i="12"/>
  <c r="H78" i="12"/>
  <c r="D79" i="12"/>
  <c r="I79" i="12" s="1"/>
  <c r="E79" i="12"/>
  <c r="F79" i="12"/>
  <c r="G79" i="12"/>
  <c r="H79" i="12"/>
  <c r="D80" i="12"/>
  <c r="I80" i="12" s="1"/>
  <c r="E80" i="12"/>
  <c r="F80" i="12"/>
  <c r="G80" i="12"/>
  <c r="H80" i="12"/>
  <c r="D81" i="12"/>
  <c r="I81" i="12" s="1"/>
  <c r="E81" i="12"/>
  <c r="F81" i="12"/>
  <c r="G81" i="12"/>
  <c r="H81" i="12"/>
  <c r="D82" i="12"/>
  <c r="I82" i="12" s="1"/>
  <c r="E82" i="12"/>
  <c r="F82" i="12"/>
  <c r="G82" i="12"/>
  <c r="H82" i="12"/>
  <c r="D83" i="12"/>
  <c r="I83" i="12" s="1"/>
  <c r="E83" i="12"/>
  <c r="F83" i="12"/>
  <c r="G83" i="12"/>
  <c r="H83" i="12"/>
  <c r="D84" i="12"/>
  <c r="I84" i="12" s="1"/>
  <c r="E84" i="12"/>
  <c r="F84" i="12"/>
  <c r="G84" i="12"/>
  <c r="H84" i="12"/>
  <c r="D85" i="12"/>
  <c r="I85" i="12" s="1"/>
  <c r="E85" i="12"/>
  <c r="F85" i="12"/>
  <c r="G85" i="12"/>
  <c r="H85" i="12"/>
  <c r="D86" i="12"/>
  <c r="I86" i="12" s="1"/>
  <c r="E86" i="12"/>
  <c r="F86" i="12"/>
  <c r="G86" i="12"/>
  <c r="H86" i="12"/>
  <c r="D87" i="12"/>
  <c r="I87" i="12" s="1"/>
  <c r="E87" i="12"/>
  <c r="F87" i="12"/>
  <c r="G87" i="12"/>
  <c r="H87" i="12"/>
  <c r="D88" i="12"/>
  <c r="I88" i="12" s="1"/>
  <c r="E88" i="12"/>
  <c r="F88" i="12"/>
  <c r="G88" i="12"/>
  <c r="H88" i="12"/>
  <c r="D89" i="12"/>
  <c r="I89" i="12" s="1"/>
  <c r="E89" i="12"/>
  <c r="F89" i="12"/>
  <c r="G89" i="12"/>
  <c r="H89" i="12"/>
  <c r="D90" i="12"/>
  <c r="I90" i="12" s="1"/>
  <c r="E90" i="12"/>
  <c r="F90" i="12"/>
  <c r="G90" i="12"/>
  <c r="H90" i="12"/>
  <c r="D91" i="12"/>
  <c r="I91" i="12" s="1"/>
  <c r="E91" i="12"/>
  <c r="F91" i="12"/>
  <c r="G91" i="12"/>
  <c r="H91" i="12"/>
  <c r="D92" i="12"/>
  <c r="I92" i="12" s="1"/>
  <c r="E92" i="12"/>
  <c r="F92" i="12"/>
  <c r="G92" i="12"/>
  <c r="H92" i="12"/>
  <c r="D93" i="12"/>
  <c r="I93" i="12" s="1"/>
  <c r="E93" i="12"/>
  <c r="F93" i="12"/>
  <c r="G93" i="12"/>
  <c r="H93" i="12"/>
  <c r="D94" i="12"/>
  <c r="I94" i="12" s="1"/>
  <c r="E94" i="12"/>
  <c r="F94" i="12"/>
  <c r="G94" i="12"/>
  <c r="H94" i="12"/>
  <c r="D95" i="12"/>
  <c r="I95" i="12" s="1"/>
  <c r="E95" i="12"/>
  <c r="F95" i="12"/>
  <c r="G95" i="12"/>
  <c r="H95" i="12"/>
  <c r="D96" i="12"/>
  <c r="I96" i="12" s="1"/>
  <c r="E96" i="12"/>
  <c r="F96" i="12"/>
  <c r="G96" i="12"/>
  <c r="H96" i="12"/>
  <c r="D97" i="12"/>
  <c r="I97" i="12" s="1"/>
  <c r="E97" i="12"/>
  <c r="F97" i="12"/>
  <c r="G97" i="12"/>
  <c r="H97" i="12"/>
  <c r="D98" i="12"/>
  <c r="I98" i="12" s="1"/>
  <c r="E98" i="12"/>
  <c r="F98" i="12"/>
  <c r="G98" i="12"/>
  <c r="H98" i="12"/>
  <c r="D99" i="12"/>
  <c r="I99" i="12" s="1"/>
  <c r="E99" i="12"/>
  <c r="F99" i="12"/>
  <c r="G99" i="12"/>
  <c r="H99" i="12"/>
  <c r="D100" i="12"/>
  <c r="I100" i="12" s="1"/>
  <c r="E100" i="12"/>
  <c r="F100" i="12"/>
  <c r="G100" i="12"/>
  <c r="H100" i="12"/>
  <c r="D101" i="12"/>
  <c r="I101" i="12" s="1"/>
  <c r="E101" i="12"/>
  <c r="F101" i="12"/>
  <c r="G101" i="12"/>
  <c r="H101" i="12"/>
  <c r="D102" i="12"/>
  <c r="I102" i="12" s="1"/>
  <c r="E102" i="12"/>
  <c r="F102" i="12"/>
  <c r="G102" i="12"/>
  <c r="H102" i="12"/>
  <c r="D103" i="12"/>
  <c r="I103" i="12" s="1"/>
  <c r="E103" i="12"/>
  <c r="F103" i="12"/>
  <c r="G103" i="12"/>
  <c r="H103" i="12"/>
  <c r="D7" i="12"/>
  <c r="I7" i="12" s="1"/>
  <c r="E7" i="12"/>
  <c r="F7" i="12"/>
  <c r="G7" i="12"/>
  <c r="H7" i="12"/>
  <c r="D8" i="12"/>
  <c r="I8" i="12" s="1"/>
  <c r="E8" i="12"/>
  <c r="F8" i="12"/>
  <c r="G8" i="12"/>
  <c r="H8" i="12"/>
  <c r="D9" i="12"/>
  <c r="I9" i="12" s="1"/>
  <c r="E9" i="12"/>
  <c r="F9" i="12"/>
  <c r="G9" i="12"/>
  <c r="H9" i="12"/>
  <c r="D10" i="12"/>
  <c r="I10" i="12" s="1"/>
  <c r="E10" i="12"/>
  <c r="F10" i="12"/>
  <c r="G10" i="12"/>
  <c r="H10" i="12"/>
  <c r="D11" i="12"/>
  <c r="I11" i="12" s="1"/>
  <c r="E11" i="12"/>
  <c r="F11" i="12"/>
  <c r="G11" i="12"/>
  <c r="H11" i="12"/>
  <c r="D12" i="12"/>
  <c r="I12" i="12" s="1"/>
  <c r="E12" i="12"/>
  <c r="F12" i="12"/>
  <c r="G12" i="12"/>
  <c r="H12" i="12"/>
  <c r="D13" i="12"/>
  <c r="I13" i="12" s="1"/>
  <c r="E13" i="12"/>
  <c r="F13" i="12"/>
  <c r="G13" i="12"/>
  <c r="H13" i="12"/>
  <c r="D14" i="12"/>
  <c r="I14" i="12" s="1"/>
  <c r="E14" i="12"/>
  <c r="F14" i="12"/>
  <c r="G14" i="12"/>
  <c r="H14" i="12"/>
  <c r="D15" i="12"/>
  <c r="I15" i="12" s="1"/>
  <c r="E15" i="12"/>
  <c r="F15" i="12"/>
  <c r="G15" i="12"/>
  <c r="H15" i="12"/>
  <c r="D16" i="12"/>
  <c r="I16" i="12" s="1"/>
  <c r="E16" i="12"/>
  <c r="F16" i="12"/>
  <c r="G16" i="12"/>
  <c r="H16" i="12"/>
  <c r="D17" i="12"/>
  <c r="I17" i="12" s="1"/>
  <c r="E17" i="12"/>
  <c r="F17" i="12"/>
  <c r="G17" i="12"/>
  <c r="H17" i="12"/>
  <c r="D18" i="12"/>
  <c r="I18" i="12" s="1"/>
  <c r="E18" i="12"/>
  <c r="F18" i="12"/>
  <c r="G18" i="12"/>
  <c r="H18" i="12"/>
  <c r="D19" i="12"/>
  <c r="I19" i="12" s="1"/>
  <c r="E19" i="12"/>
  <c r="F19" i="12"/>
  <c r="G19" i="12"/>
  <c r="H19" i="12"/>
  <c r="D20" i="12"/>
  <c r="I20" i="12" s="1"/>
  <c r="E20" i="12"/>
  <c r="F20" i="12"/>
  <c r="G20" i="12"/>
  <c r="H20" i="12"/>
  <c r="D21" i="12"/>
  <c r="I21" i="12" s="1"/>
  <c r="E21" i="12"/>
  <c r="F21" i="12"/>
  <c r="G21" i="12"/>
  <c r="H21" i="12"/>
  <c r="D22" i="12"/>
  <c r="I22" i="12" s="1"/>
  <c r="E22" i="12"/>
  <c r="F22" i="12"/>
  <c r="G22" i="12"/>
  <c r="H22" i="12"/>
  <c r="D23" i="12"/>
  <c r="I23" i="12" s="1"/>
  <c r="E23" i="12"/>
  <c r="F23" i="12"/>
  <c r="G23" i="12"/>
  <c r="H23" i="12"/>
  <c r="D24" i="12"/>
  <c r="I24" i="12" s="1"/>
  <c r="E24" i="12"/>
  <c r="F24" i="12"/>
  <c r="G24" i="12"/>
  <c r="H24" i="12"/>
  <c r="D25" i="12"/>
  <c r="I25" i="12" s="1"/>
  <c r="E25" i="12"/>
  <c r="F25" i="12"/>
  <c r="G25" i="12"/>
  <c r="H25" i="12"/>
  <c r="D26" i="12"/>
  <c r="E26" i="12"/>
  <c r="F26" i="12"/>
  <c r="G26" i="12"/>
  <c r="H26" i="12"/>
  <c r="D27" i="12"/>
  <c r="E27" i="12"/>
  <c r="F27" i="12"/>
  <c r="G27" i="12"/>
  <c r="H27" i="12"/>
  <c r="D28" i="12"/>
  <c r="E28" i="12"/>
  <c r="F28" i="12"/>
  <c r="G28" i="12"/>
  <c r="H28" i="12"/>
  <c r="D29" i="12"/>
  <c r="E29" i="12"/>
  <c r="F29" i="12"/>
  <c r="G29" i="12"/>
  <c r="H29" i="12"/>
  <c r="D30" i="12"/>
  <c r="E30" i="12"/>
  <c r="F30" i="12"/>
  <c r="G30" i="12"/>
  <c r="H30" i="12"/>
  <c r="D31" i="12"/>
  <c r="E31" i="12"/>
  <c r="F31" i="12"/>
  <c r="G31" i="12"/>
  <c r="H31" i="12"/>
  <c r="D32" i="12"/>
  <c r="E32" i="12"/>
  <c r="F32" i="12"/>
  <c r="G32" i="12"/>
  <c r="H32" i="12"/>
  <c r="D33" i="12"/>
  <c r="E33" i="12"/>
  <c r="F33" i="12"/>
  <c r="G33" i="12"/>
  <c r="H33" i="12"/>
  <c r="D34" i="12"/>
  <c r="E34" i="12"/>
  <c r="F34" i="12"/>
  <c r="G34" i="12"/>
  <c r="H34" i="12"/>
  <c r="D35" i="12"/>
  <c r="E35" i="12"/>
  <c r="F35" i="12"/>
  <c r="G35" i="12"/>
  <c r="H35" i="12"/>
  <c r="D36" i="12"/>
  <c r="E36" i="12"/>
  <c r="I36" i="12" s="1"/>
  <c r="F36" i="12"/>
  <c r="G36" i="12"/>
  <c r="H36" i="12"/>
  <c r="D37" i="12"/>
  <c r="I37" i="12" s="1"/>
  <c r="E37" i="12"/>
  <c r="F37" i="12"/>
  <c r="G37" i="12"/>
  <c r="H37" i="12"/>
  <c r="D38" i="12"/>
  <c r="I38" i="12" s="1"/>
  <c r="E38" i="12"/>
  <c r="F38" i="12"/>
  <c r="G38" i="12"/>
  <c r="H38" i="12"/>
  <c r="D39" i="12"/>
  <c r="I39" i="12" s="1"/>
  <c r="E39" i="12"/>
  <c r="F39" i="12"/>
  <c r="G39" i="12"/>
  <c r="H39" i="12"/>
  <c r="D40" i="12"/>
  <c r="I40" i="12" s="1"/>
  <c r="E40" i="12"/>
  <c r="F40" i="12"/>
  <c r="G40" i="12"/>
  <c r="H40" i="12"/>
  <c r="D41" i="12"/>
  <c r="I41" i="12" s="1"/>
  <c r="E41" i="12"/>
  <c r="F41" i="12"/>
  <c r="G41" i="12"/>
  <c r="H41" i="12"/>
  <c r="D42" i="12"/>
  <c r="I42" i="12" s="1"/>
  <c r="E42" i="12"/>
  <c r="F42" i="12"/>
  <c r="G42" i="12"/>
  <c r="H42" i="12"/>
  <c r="D43" i="12"/>
  <c r="I43" i="12" s="1"/>
  <c r="E43" i="12"/>
  <c r="F43" i="12"/>
  <c r="G43" i="12"/>
  <c r="H43" i="12"/>
  <c r="D44" i="12"/>
  <c r="I44" i="12" s="1"/>
  <c r="E44" i="12"/>
  <c r="F44" i="12"/>
  <c r="G44" i="12"/>
  <c r="H44" i="12"/>
  <c r="D45" i="12"/>
  <c r="I45" i="12" s="1"/>
  <c r="E45" i="12"/>
  <c r="F45" i="12"/>
  <c r="G45" i="12"/>
  <c r="H45" i="12"/>
  <c r="D46" i="12"/>
  <c r="I46" i="12" s="1"/>
  <c r="E46" i="12"/>
  <c r="F46" i="12"/>
  <c r="G46" i="12"/>
  <c r="H46" i="12"/>
  <c r="D47" i="12"/>
  <c r="I47" i="12" s="1"/>
  <c r="E47" i="12"/>
  <c r="F47" i="12"/>
  <c r="G47" i="12"/>
  <c r="H47" i="12"/>
  <c r="D48" i="12"/>
  <c r="I48" i="12" s="1"/>
  <c r="E48" i="12"/>
  <c r="F48" i="12"/>
  <c r="G48" i="12"/>
  <c r="H48" i="12"/>
  <c r="D49" i="12"/>
  <c r="I49" i="12" s="1"/>
  <c r="E49" i="12"/>
  <c r="F49" i="12"/>
  <c r="G49" i="12"/>
  <c r="H49" i="12"/>
  <c r="D50" i="12"/>
  <c r="I50" i="12" s="1"/>
  <c r="E50" i="12"/>
  <c r="F50" i="12"/>
  <c r="G50" i="12"/>
  <c r="H50" i="12"/>
  <c r="D51" i="12"/>
  <c r="I51" i="12" s="1"/>
  <c r="E51" i="12"/>
  <c r="F51" i="12"/>
  <c r="G51" i="12"/>
  <c r="H51" i="12"/>
  <c r="D52" i="12"/>
  <c r="I52" i="12" s="1"/>
  <c r="E52" i="12"/>
  <c r="F52" i="12"/>
  <c r="G52" i="12"/>
  <c r="H52" i="12"/>
  <c r="D53" i="12"/>
  <c r="I53" i="12" s="1"/>
  <c r="E53" i="12"/>
  <c r="F53" i="12"/>
  <c r="G53" i="12"/>
  <c r="H53" i="12"/>
  <c r="A410" i="12"/>
  <c r="B410" i="12"/>
  <c r="C410" i="12"/>
  <c r="I410" i="12"/>
  <c r="A411" i="12"/>
  <c r="B411" i="12"/>
  <c r="C411" i="12"/>
  <c r="I411" i="12"/>
  <c r="A412" i="12"/>
  <c r="B412" i="12"/>
  <c r="C412" i="12"/>
  <c r="I412" i="12"/>
  <c r="A413" i="12"/>
  <c r="B413" i="12"/>
  <c r="C413" i="12"/>
  <c r="I413" i="12"/>
  <c r="A414" i="12"/>
  <c r="B414" i="12"/>
  <c r="C414" i="12"/>
  <c r="I414" i="12"/>
  <c r="A415" i="12"/>
  <c r="B415" i="12"/>
  <c r="C415" i="12"/>
  <c r="I415" i="12"/>
  <c r="A416" i="12"/>
  <c r="B416" i="12"/>
  <c r="C416" i="12"/>
  <c r="I416" i="12"/>
  <c r="A417" i="12"/>
  <c r="B417" i="12"/>
  <c r="C417" i="12"/>
  <c r="I417" i="12"/>
  <c r="A418" i="12"/>
  <c r="B418" i="12"/>
  <c r="C418" i="12"/>
  <c r="I418" i="12"/>
  <c r="A419" i="12"/>
  <c r="B419" i="12"/>
  <c r="C419" i="12"/>
  <c r="I419" i="12"/>
  <c r="A420" i="12"/>
  <c r="B420" i="12"/>
  <c r="C420" i="12"/>
  <c r="I420" i="12"/>
  <c r="A421" i="12"/>
  <c r="B421" i="12"/>
  <c r="C421" i="12"/>
  <c r="I421" i="12"/>
  <c r="A422" i="12"/>
  <c r="B422" i="12"/>
  <c r="C422" i="12"/>
  <c r="I422" i="12"/>
  <c r="A423" i="12"/>
  <c r="B423" i="12"/>
  <c r="C423" i="12"/>
  <c r="I423" i="12"/>
  <c r="A424" i="12"/>
  <c r="B424" i="12"/>
  <c r="C424" i="12"/>
  <c r="I424" i="12"/>
  <c r="A425" i="12"/>
  <c r="B425" i="12"/>
  <c r="C425" i="12"/>
  <c r="I425" i="12"/>
  <c r="A426" i="12"/>
  <c r="B426" i="12"/>
  <c r="C426" i="12"/>
  <c r="I426" i="12"/>
  <c r="A427" i="12"/>
  <c r="B427" i="12"/>
  <c r="C427" i="12"/>
  <c r="I427" i="12"/>
  <c r="A428" i="12"/>
  <c r="B428" i="12"/>
  <c r="C428" i="12"/>
  <c r="I428" i="12"/>
  <c r="A429" i="12"/>
  <c r="B429" i="12"/>
  <c r="C429" i="12"/>
  <c r="I429" i="12"/>
  <c r="A430" i="12"/>
  <c r="B430" i="12"/>
  <c r="C430" i="12"/>
  <c r="I430" i="12"/>
  <c r="A431" i="12"/>
  <c r="B431" i="12"/>
  <c r="C431" i="12"/>
  <c r="I431" i="12"/>
  <c r="A432" i="12"/>
  <c r="B432" i="12"/>
  <c r="C432" i="12"/>
  <c r="I432" i="12"/>
  <c r="A433" i="12"/>
  <c r="B433" i="12"/>
  <c r="C433" i="12"/>
  <c r="I433" i="12"/>
  <c r="A434" i="12"/>
  <c r="B434" i="12"/>
  <c r="C434" i="12"/>
  <c r="A435" i="12"/>
  <c r="B435" i="12"/>
  <c r="C435" i="12"/>
  <c r="A436" i="12"/>
  <c r="B436" i="12"/>
  <c r="C436" i="12"/>
  <c r="A437" i="12"/>
  <c r="B437" i="12"/>
  <c r="C437" i="12"/>
  <c r="A438" i="12"/>
  <c r="B438" i="12"/>
  <c r="C438" i="12"/>
  <c r="A439" i="12"/>
  <c r="B439" i="12"/>
  <c r="C439" i="12"/>
  <c r="A440" i="12"/>
  <c r="B440" i="12"/>
  <c r="C440" i="12"/>
  <c r="A441" i="12"/>
  <c r="B441" i="12"/>
  <c r="C441" i="12"/>
  <c r="A442" i="12"/>
  <c r="B442" i="12"/>
  <c r="C442" i="12"/>
  <c r="A443" i="12"/>
  <c r="B443" i="12"/>
  <c r="C443" i="12"/>
  <c r="A444" i="12"/>
  <c r="B444" i="12"/>
  <c r="C444" i="12"/>
  <c r="A372" i="12"/>
  <c r="B372" i="12"/>
  <c r="C372" i="12"/>
  <c r="A373" i="12"/>
  <c r="B373" i="12"/>
  <c r="C373" i="12"/>
  <c r="A374" i="12"/>
  <c r="B374" i="12"/>
  <c r="C374" i="12"/>
  <c r="A375" i="12"/>
  <c r="B375" i="12"/>
  <c r="C375" i="12"/>
  <c r="A376" i="12"/>
  <c r="B376" i="12"/>
  <c r="C376" i="12"/>
  <c r="A377" i="12"/>
  <c r="B377" i="12"/>
  <c r="C377" i="12"/>
  <c r="A378" i="12"/>
  <c r="B378" i="12"/>
  <c r="C378" i="12"/>
  <c r="A379" i="12"/>
  <c r="B379" i="12"/>
  <c r="C379" i="12"/>
  <c r="A380" i="12"/>
  <c r="B380" i="12"/>
  <c r="C380" i="12"/>
  <c r="A381" i="12"/>
  <c r="B381" i="12"/>
  <c r="C381" i="12"/>
  <c r="A382" i="12"/>
  <c r="B382" i="12"/>
  <c r="C382" i="12"/>
  <c r="A383" i="12"/>
  <c r="B383" i="12"/>
  <c r="C383" i="12"/>
  <c r="A384" i="12"/>
  <c r="B384" i="12"/>
  <c r="C384" i="12"/>
  <c r="A385" i="12"/>
  <c r="B385" i="12"/>
  <c r="C385" i="12"/>
  <c r="I385" i="12"/>
  <c r="A386" i="12"/>
  <c r="B386" i="12"/>
  <c r="C386" i="12"/>
  <c r="I386" i="12"/>
  <c r="A387" i="12"/>
  <c r="B387" i="12"/>
  <c r="C387" i="12"/>
  <c r="I387" i="12"/>
  <c r="A388" i="12"/>
  <c r="B388" i="12"/>
  <c r="C388" i="12"/>
  <c r="I388" i="12"/>
  <c r="A389" i="12"/>
  <c r="B389" i="12"/>
  <c r="C389" i="12"/>
  <c r="I389" i="12"/>
  <c r="A390" i="12"/>
  <c r="B390" i="12"/>
  <c r="C390" i="12"/>
  <c r="I390" i="12"/>
  <c r="A391" i="12"/>
  <c r="B391" i="12"/>
  <c r="C391" i="12"/>
  <c r="I391" i="12"/>
  <c r="A392" i="12"/>
  <c r="B392" i="12"/>
  <c r="C392" i="12"/>
  <c r="I392" i="12"/>
  <c r="A393" i="12"/>
  <c r="B393" i="12"/>
  <c r="C393" i="12"/>
  <c r="I393" i="12"/>
  <c r="A394" i="12"/>
  <c r="B394" i="12"/>
  <c r="C394" i="12"/>
  <c r="I394" i="12"/>
  <c r="A395" i="12"/>
  <c r="B395" i="12"/>
  <c r="C395" i="12"/>
  <c r="I395" i="12"/>
  <c r="A396" i="12"/>
  <c r="B396" i="12"/>
  <c r="C396" i="12"/>
  <c r="I396" i="12"/>
  <c r="A397" i="12"/>
  <c r="B397" i="12"/>
  <c r="C397" i="12"/>
  <c r="I397" i="12"/>
  <c r="A398" i="12"/>
  <c r="B398" i="12"/>
  <c r="C398" i="12"/>
  <c r="I398" i="12"/>
  <c r="A399" i="12"/>
  <c r="B399" i="12"/>
  <c r="C399" i="12"/>
  <c r="I399" i="12"/>
  <c r="A400" i="12"/>
  <c r="B400" i="12"/>
  <c r="C400" i="12"/>
  <c r="I400" i="12"/>
  <c r="A401" i="12"/>
  <c r="B401" i="12"/>
  <c r="C401" i="12"/>
  <c r="I401" i="12"/>
  <c r="A402" i="12"/>
  <c r="B402" i="12"/>
  <c r="C402" i="12"/>
  <c r="I402" i="12"/>
  <c r="A403" i="12"/>
  <c r="B403" i="12"/>
  <c r="C403" i="12"/>
  <c r="I403" i="12"/>
  <c r="A404" i="12"/>
  <c r="B404" i="12"/>
  <c r="C404" i="12"/>
  <c r="I404" i="12"/>
  <c r="A405" i="12"/>
  <c r="B405" i="12"/>
  <c r="C405" i="12"/>
  <c r="I405" i="12"/>
  <c r="A406" i="12"/>
  <c r="B406" i="12"/>
  <c r="C406" i="12"/>
  <c r="I406" i="12"/>
  <c r="A334" i="12"/>
  <c r="B334" i="12"/>
  <c r="C334" i="12"/>
  <c r="I334" i="12"/>
  <c r="A335" i="12"/>
  <c r="B335" i="12"/>
  <c r="C335" i="12"/>
  <c r="I335" i="12"/>
  <c r="A336" i="12"/>
  <c r="B336" i="12"/>
  <c r="C336" i="12"/>
  <c r="I336" i="12"/>
  <c r="A337" i="12"/>
  <c r="B337" i="12"/>
  <c r="C337" i="12"/>
  <c r="I337" i="12"/>
  <c r="A338" i="12"/>
  <c r="B338" i="12"/>
  <c r="C338" i="12"/>
  <c r="I338" i="12"/>
  <c r="A339" i="12"/>
  <c r="B339" i="12"/>
  <c r="C339" i="12"/>
  <c r="I339" i="12"/>
  <c r="A340" i="12"/>
  <c r="B340" i="12"/>
  <c r="C340" i="12"/>
  <c r="I340" i="12"/>
  <c r="A341" i="12"/>
  <c r="B341" i="12"/>
  <c r="C341" i="12"/>
  <c r="I341" i="12"/>
  <c r="A342" i="12"/>
  <c r="B342" i="12"/>
  <c r="C342" i="12"/>
  <c r="I342" i="12"/>
  <c r="A343" i="12"/>
  <c r="B343" i="12"/>
  <c r="C343" i="12"/>
  <c r="I343" i="12"/>
  <c r="A344" i="12"/>
  <c r="B344" i="12"/>
  <c r="C344" i="12"/>
  <c r="I344" i="12"/>
  <c r="A345" i="12"/>
  <c r="B345" i="12"/>
  <c r="C345" i="12"/>
  <c r="I345" i="12"/>
  <c r="A346" i="12"/>
  <c r="B346" i="12"/>
  <c r="C346" i="12"/>
  <c r="I346" i="12"/>
  <c r="A347" i="12"/>
  <c r="B347" i="12"/>
  <c r="C347" i="12"/>
  <c r="I347" i="12"/>
  <c r="A348" i="12"/>
  <c r="B348" i="12"/>
  <c r="C348" i="12"/>
  <c r="A349" i="12"/>
  <c r="B349" i="12"/>
  <c r="C349" i="12"/>
  <c r="A350" i="12"/>
  <c r="B350" i="12"/>
  <c r="C350" i="12"/>
  <c r="A351" i="12"/>
  <c r="B351" i="12"/>
  <c r="C351" i="12"/>
  <c r="A352" i="12"/>
  <c r="B352" i="12"/>
  <c r="C352" i="12"/>
  <c r="A353" i="12"/>
  <c r="B353" i="12"/>
  <c r="C353" i="12"/>
  <c r="A354" i="12"/>
  <c r="B354" i="12"/>
  <c r="C354" i="12"/>
  <c r="A355" i="12"/>
  <c r="B355" i="12"/>
  <c r="C355" i="12"/>
  <c r="A356" i="12"/>
  <c r="B356" i="12"/>
  <c r="C356" i="12"/>
  <c r="A357" i="12"/>
  <c r="B357" i="12"/>
  <c r="C357" i="12"/>
  <c r="A358" i="12"/>
  <c r="B358" i="12"/>
  <c r="C358" i="12"/>
  <c r="A359" i="12"/>
  <c r="B359" i="12"/>
  <c r="C359" i="12"/>
  <c r="A360" i="12"/>
  <c r="B360" i="12"/>
  <c r="C360" i="12"/>
  <c r="I360" i="12"/>
  <c r="A361" i="12"/>
  <c r="B361" i="12"/>
  <c r="C361" i="12"/>
  <c r="I361" i="12"/>
  <c r="A362" i="12"/>
  <c r="B362" i="12"/>
  <c r="C362" i="12"/>
  <c r="I362" i="12"/>
  <c r="A363" i="12"/>
  <c r="B363" i="12"/>
  <c r="C363" i="12"/>
  <c r="I363" i="12"/>
  <c r="A364" i="12"/>
  <c r="B364" i="12"/>
  <c r="C364" i="12"/>
  <c r="I364" i="12"/>
  <c r="A365" i="12"/>
  <c r="B365" i="12"/>
  <c r="C365" i="12"/>
  <c r="I365" i="12"/>
  <c r="A366" i="12"/>
  <c r="B366" i="12"/>
  <c r="C366" i="12"/>
  <c r="I366" i="12"/>
  <c r="A367" i="12"/>
  <c r="B367" i="12"/>
  <c r="C367" i="12"/>
  <c r="I367" i="12"/>
  <c r="A368" i="12"/>
  <c r="B368" i="12"/>
  <c r="C368" i="12"/>
  <c r="I368" i="12"/>
  <c r="A296" i="12"/>
  <c r="B296" i="12"/>
  <c r="C296" i="12"/>
  <c r="I296" i="12"/>
  <c r="A297" i="12"/>
  <c r="B297" i="12"/>
  <c r="C297" i="12"/>
  <c r="I297" i="12"/>
  <c r="A298" i="12"/>
  <c r="B298" i="12"/>
  <c r="C298" i="12"/>
  <c r="I298" i="12"/>
  <c r="A299" i="12"/>
  <c r="B299" i="12"/>
  <c r="C299" i="12"/>
  <c r="I299" i="12"/>
  <c r="A300" i="12"/>
  <c r="B300" i="12"/>
  <c r="C300" i="12"/>
  <c r="I300" i="12"/>
  <c r="A301" i="12"/>
  <c r="B301" i="12"/>
  <c r="C301" i="12"/>
  <c r="I301" i="12"/>
  <c r="A302" i="12"/>
  <c r="B302" i="12"/>
  <c r="C302" i="12"/>
  <c r="I302" i="12"/>
  <c r="A303" i="12"/>
  <c r="B303" i="12"/>
  <c r="C303" i="12"/>
  <c r="I303" i="12"/>
  <c r="A304" i="12"/>
  <c r="B304" i="12"/>
  <c r="C304" i="12"/>
  <c r="I304" i="12"/>
  <c r="A305" i="12"/>
  <c r="B305" i="12"/>
  <c r="C305" i="12"/>
  <c r="I305" i="12"/>
  <c r="A306" i="12"/>
  <c r="B306" i="12"/>
  <c r="C306" i="12"/>
  <c r="I306" i="12"/>
  <c r="A307" i="12"/>
  <c r="B307" i="12"/>
  <c r="C307" i="12"/>
  <c r="I307" i="12"/>
  <c r="A308" i="12"/>
  <c r="B308" i="12"/>
  <c r="C308" i="12"/>
  <c r="I308" i="12"/>
  <c r="A309" i="12"/>
  <c r="B309" i="12"/>
  <c r="C309" i="12"/>
  <c r="I309" i="12"/>
  <c r="A310" i="12"/>
  <c r="B310" i="12"/>
  <c r="C310" i="12"/>
  <c r="I310" i="12"/>
  <c r="A311" i="12"/>
  <c r="B311" i="12"/>
  <c r="C311" i="12"/>
  <c r="I311" i="12"/>
  <c r="A312" i="12"/>
  <c r="B312" i="12"/>
  <c r="C312" i="12"/>
  <c r="I312" i="12"/>
  <c r="A313" i="12"/>
  <c r="B313" i="12"/>
  <c r="C313" i="12"/>
  <c r="I313" i="12"/>
  <c r="A314" i="12"/>
  <c r="B314" i="12"/>
  <c r="C314" i="12"/>
  <c r="I314" i="12"/>
  <c r="A315" i="12"/>
  <c r="B315" i="12"/>
  <c r="C315" i="12"/>
  <c r="I315" i="12"/>
  <c r="A316" i="12"/>
  <c r="B316" i="12"/>
  <c r="C316" i="12"/>
  <c r="I316" i="12"/>
  <c r="A317" i="12"/>
  <c r="B317" i="12"/>
  <c r="C317" i="12"/>
  <c r="I317" i="12"/>
  <c r="A318" i="12"/>
  <c r="B318" i="12"/>
  <c r="C318" i="12"/>
  <c r="I318" i="12"/>
  <c r="A319" i="12"/>
  <c r="B319" i="12"/>
  <c r="C319" i="12"/>
  <c r="I319" i="12"/>
  <c r="A320" i="12"/>
  <c r="B320" i="12"/>
  <c r="C320" i="12"/>
  <c r="I320" i="12"/>
  <c r="A321" i="12"/>
  <c r="B321" i="12"/>
  <c r="C321" i="12"/>
  <c r="I321" i="12"/>
  <c r="A322" i="12"/>
  <c r="B322" i="12"/>
  <c r="C322" i="12"/>
  <c r="I322" i="12"/>
  <c r="A323" i="12"/>
  <c r="B323" i="12"/>
  <c r="C323" i="12"/>
  <c r="I323" i="12"/>
  <c r="A324" i="12"/>
  <c r="B324" i="12"/>
  <c r="C324" i="12"/>
  <c r="I324" i="12"/>
  <c r="A325" i="12"/>
  <c r="B325" i="12"/>
  <c r="C325" i="12"/>
  <c r="I325" i="12"/>
  <c r="A326" i="12"/>
  <c r="B326" i="12"/>
  <c r="C326" i="12"/>
  <c r="I326" i="12"/>
  <c r="A327" i="12"/>
  <c r="B327" i="12"/>
  <c r="C327" i="12"/>
  <c r="I327" i="12"/>
  <c r="A328" i="12"/>
  <c r="B328" i="12"/>
  <c r="C328" i="12"/>
  <c r="I328" i="12"/>
  <c r="A329" i="12"/>
  <c r="B329" i="12"/>
  <c r="C329" i="12"/>
  <c r="I329" i="12"/>
  <c r="A330" i="12"/>
  <c r="B330" i="12"/>
  <c r="C330" i="12"/>
  <c r="I330" i="12"/>
  <c r="A258" i="12"/>
  <c r="B258" i="12"/>
  <c r="C258" i="12"/>
  <c r="I258" i="12"/>
  <c r="A259" i="12"/>
  <c r="B259" i="12"/>
  <c r="C259" i="12"/>
  <c r="I259" i="12"/>
  <c r="A260" i="12"/>
  <c r="B260" i="12"/>
  <c r="C260" i="12"/>
  <c r="I260" i="12"/>
  <c r="A261" i="12"/>
  <c r="B261" i="12"/>
  <c r="C261" i="12"/>
  <c r="I261" i="12"/>
  <c r="A262" i="12"/>
  <c r="B262" i="12"/>
  <c r="C262" i="12"/>
  <c r="I262" i="12"/>
  <c r="A263" i="12"/>
  <c r="B263" i="12"/>
  <c r="C263" i="12"/>
  <c r="I263" i="12"/>
  <c r="A264" i="12"/>
  <c r="B264" i="12"/>
  <c r="C264" i="12"/>
  <c r="I264" i="12"/>
  <c r="A265" i="12"/>
  <c r="B265" i="12"/>
  <c r="C265" i="12"/>
  <c r="I265" i="12"/>
  <c r="A266" i="12"/>
  <c r="B266" i="12"/>
  <c r="C266" i="12"/>
  <c r="I266" i="12"/>
  <c r="A267" i="12"/>
  <c r="B267" i="12"/>
  <c r="C267" i="12"/>
  <c r="I267" i="12"/>
  <c r="A268" i="12"/>
  <c r="B268" i="12"/>
  <c r="C268" i="12"/>
  <c r="I268" i="12"/>
  <c r="A269" i="12"/>
  <c r="B269" i="12"/>
  <c r="C269" i="12"/>
  <c r="I269" i="12"/>
  <c r="A270" i="12"/>
  <c r="B270" i="12"/>
  <c r="C270" i="12"/>
  <c r="I270" i="12"/>
  <c r="A271" i="12"/>
  <c r="B271" i="12"/>
  <c r="C271" i="12"/>
  <c r="I271" i="12"/>
  <c r="A272" i="12"/>
  <c r="B272" i="12"/>
  <c r="C272" i="12"/>
  <c r="I272" i="12"/>
  <c r="A273" i="12"/>
  <c r="B273" i="12"/>
  <c r="C273" i="12"/>
  <c r="I273" i="12"/>
  <c r="A274" i="12"/>
  <c r="B274" i="12"/>
  <c r="C274" i="12"/>
  <c r="I274" i="12"/>
  <c r="A275" i="12"/>
  <c r="B275" i="12"/>
  <c r="C275" i="12"/>
  <c r="I275" i="12"/>
  <c r="A276" i="12"/>
  <c r="B276" i="12"/>
  <c r="C276" i="12"/>
  <c r="I276" i="12"/>
  <c r="A277" i="12"/>
  <c r="B277" i="12"/>
  <c r="C277" i="12"/>
  <c r="I277" i="12"/>
  <c r="A278" i="12"/>
  <c r="B278" i="12"/>
  <c r="C278" i="12"/>
  <c r="I278" i="12"/>
  <c r="A279" i="12"/>
  <c r="B279" i="12"/>
  <c r="C279" i="12"/>
  <c r="I279" i="12"/>
  <c r="A280" i="12"/>
  <c r="B280" i="12"/>
  <c r="C280" i="12"/>
  <c r="I280" i="12"/>
  <c r="A281" i="12"/>
  <c r="B281" i="12"/>
  <c r="C281" i="12"/>
  <c r="I281" i="12"/>
  <c r="A282" i="12"/>
  <c r="B282" i="12"/>
  <c r="C282" i="12"/>
  <c r="I282" i="12"/>
  <c r="A283" i="12"/>
  <c r="B283" i="12"/>
  <c r="C283" i="12"/>
  <c r="I283" i="12"/>
  <c r="A284" i="12"/>
  <c r="B284" i="12"/>
  <c r="C284" i="12"/>
  <c r="I284" i="12"/>
  <c r="A285" i="12"/>
  <c r="B285" i="12"/>
  <c r="C285" i="12"/>
  <c r="I285" i="12"/>
  <c r="A286" i="12"/>
  <c r="B286" i="12"/>
  <c r="C286" i="12"/>
  <c r="I286" i="12"/>
  <c r="A287" i="12"/>
  <c r="B287" i="12"/>
  <c r="C287" i="12"/>
  <c r="I287" i="12"/>
  <c r="A288" i="12"/>
  <c r="B288" i="12"/>
  <c r="C288" i="12"/>
  <c r="I288" i="12"/>
  <c r="A289" i="12"/>
  <c r="B289" i="12"/>
  <c r="C289" i="12"/>
  <c r="I289" i="12"/>
  <c r="A290" i="12"/>
  <c r="B290" i="12"/>
  <c r="C290" i="12"/>
  <c r="I290" i="12"/>
  <c r="A291" i="12"/>
  <c r="B291" i="12"/>
  <c r="C291" i="12"/>
  <c r="I291" i="12"/>
  <c r="A292" i="12"/>
  <c r="B292" i="12"/>
  <c r="C292" i="12"/>
  <c r="I292" i="12"/>
  <c r="A207" i="12"/>
  <c r="B207" i="12"/>
  <c r="C207" i="12"/>
  <c r="I207" i="12"/>
  <c r="A208" i="12"/>
  <c r="B208" i="12"/>
  <c r="C208" i="12"/>
  <c r="I208" i="12"/>
  <c r="A209" i="12"/>
  <c r="B209" i="12"/>
  <c r="C209" i="12"/>
  <c r="I209" i="12"/>
  <c r="A210" i="12"/>
  <c r="B210" i="12"/>
  <c r="C210" i="12"/>
  <c r="I210" i="12"/>
  <c r="A211" i="12"/>
  <c r="B211" i="12"/>
  <c r="C211" i="12"/>
  <c r="I211" i="12"/>
  <c r="A212" i="12"/>
  <c r="B212" i="12"/>
  <c r="C212" i="12"/>
  <c r="I212" i="12"/>
  <c r="A213" i="12"/>
  <c r="B213" i="12"/>
  <c r="C213" i="12"/>
  <c r="I213" i="12"/>
  <c r="A214" i="12"/>
  <c r="B214" i="12"/>
  <c r="C214" i="12"/>
  <c r="I214" i="12"/>
  <c r="A215" i="12"/>
  <c r="B215" i="12"/>
  <c r="C215" i="12"/>
  <c r="I215" i="12"/>
  <c r="A216" i="12"/>
  <c r="B216" i="12"/>
  <c r="C216" i="12"/>
  <c r="I216" i="12"/>
  <c r="A217" i="12"/>
  <c r="B217" i="12"/>
  <c r="C217" i="12"/>
  <c r="I217" i="12"/>
  <c r="A218" i="12"/>
  <c r="B218" i="12"/>
  <c r="C218" i="12"/>
  <c r="I218" i="12"/>
  <c r="A219" i="12"/>
  <c r="B219" i="12"/>
  <c r="C219" i="12"/>
  <c r="I219" i="12"/>
  <c r="A220" i="12"/>
  <c r="B220" i="12"/>
  <c r="C220" i="12"/>
  <c r="I220" i="12"/>
  <c r="A221" i="12"/>
  <c r="B221" i="12"/>
  <c r="C221" i="12"/>
  <c r="I221" i="12"/>
  <c r="A222" i="12"/>
  <c r="B222" i="12"/>
  <c r="C222" i="12"/>
  <c r="I222" i="12"/>
  <c r="A223" i="12"/>
  <c r="B223" i="12"/>
  <c r="C223" i="12"/>
  <c r="I223" i="12"/>
  <c r="A224" i="12"/>
  <c r="B224" i="12"/>
  <c r="C224" i="12"/>
  <c r="I224" i="12"/>
  <c r="A225" i="12"/>
  <c r="B225" i="12"/>
  <c r="C225" i="12"/>
  <c r="I225" i="12"/>
  <c r="A226" i="12"/>
  <c r="B226" i="12"/>
  <c r="C226" i="12"/>
  <c r="I226" i="12"/>
  <c r="A227" i="12"/>
  <c r="B227" i="12"/>
  <c r="C227" i="12"/>
  <c r="I227" i="12"/>
  <c r="A228" i="12"/>
  <c r="B228" i="12"/>
  <c r="C228" i="12"/>
  <c r="I228" i="12"/>
  <c r="A229" i="12"/>
  <c r="B229" i="12"/>
  <c r="C229" i="12"/>
  <c r="I229" i="12"/>
  <c r="A230" i="12"/>
  <c r="B230" i="12"/>
  <c r="C230" i="12"/>
  <c r="I230" i="12"/>
  <c r="A231" i="12"/>
  <c r="B231" i="12"/>
  <c r="C231" i="12"/>
  <c r="I231" i="12"/>
  <c r="A232" i="12"/>
  <c r="B232" i="12"/>
  <c r="C232" i="12"/>
  <c r="I232" i="12"/>
  <c r="A233" i="12"/>
  <c r="B233" i="12"/>
  <c r="C233" i="12"/>
  <c r="I233" i="12"/>
  <c r="A234" i="12"/>
  <c r="B234" i="12"/>
  <c r="C234" i="12"/>
  <c r="I234" i="12"/>
  <c r="A235" i="12"/>
  <c r="B235" i="12"/>
  <c r="C235" i="12"/>
  <c r="A236" i="12"/>
  <c r="B236" i="12"/>
  <c r="C236" i="12"/>
  <c r="A237" i="12"/>
  <c r="B237" i="12"/>
  <c r="C237" i="12"/>
  <c r="A238" i="12"/>
  <c r="B238" i="12"/>
  <c r="C238" i="12"/>
  <c r="A239" i="12"/>
  <c r="B239" i="12"/>
  <c r="C239" i="12"/>
  <c r="A240" i="12"/>
  <c r="B240" i="12"/>
  <c r="C240" i="12"/>
  <c r="A241" i="12"/>
  <c r="B241" i="12"/>
  <c r="C241" i="12"/>
  <c r="A242" i="12"/>
  <c r="B242" i="12"/>
  <c r="C242" i="12"/>
  <c r="A243" i="12"/>
  <c r="B243" i="12"/>
  <c r="C243" i="12"/>
  <c r="A244" i="12"/>
  <c r="B244" i="12"/>
  <c r="C244" i="12"/>
  <c r="A245" i="12"/>
  <c r="B245" i="12"/>
  <c r="C245" i="12"/>
  <c r="A246" i="12"/>
  <c r="B246" i="12"/>
  <c r="C246" i="12"/>
  <c r="A247" i="12"/>
  <c r="B247" i="12"/>
  <c r="C247" i="12"/>
  <c r="A248" i="12"/>
  <c r="B248" i="12"/>
  <c r="C248" i="12"/>
  <c r="A249" i="12"/>
  <c r="B249" i="12"/>
  <c r="C249" i="12"/>
  <c r="A250" i="12"/>
  <c r="B250" i="12"/>
  <c r="C250" i="12"/>
  <c r="A251" i="12"/>
  <c r="B251" i="12"/>
  <c r="C251" i="12"/>
  <c r="A252" i="12"/>
  <c r="B252" i="12"/>
  <c r="C252" i="12"/>
  <c r="A253" i="12"/>
  <c r="B253" i="12"/>
  <c r="C253" i="12"/>
  <c r="A157" i="12"/>
  <c r="B157" i="12"/>
  <c r="C157" i="12"/>
  <c r="A158" i="12"/>
  <c r="B158" i="12"/>
  <c r="C158" i="12"/>
  <c r="A159" i="12"/>
  <c r="B159" i="12"/>
  <c r="C159" i="12"/>
  <c r="A160" i="12"/>
  <c r="B160" i="12"/>
  <c r="C160" i="12"/>
  <c r="A161" i="12"/>
  <c r="B161" i="12"/>
  <c r="C161" i="12"/>
  <c r="A162" i="12"/>
  <c r="B162" i="12"/>
  <c r="C162" i="12"/>
  <c r="A163" i="12"/>
  <c r="B163" i="12"/>
  <c r="C163" i="12"/>
  <c r="A164" i="12"/>
  <c r="B164" i="12"/>
  <c r="C164" i="12"/>
  <c r="A165" i="12"/>
  <c r="B165" i="12"/>
  <c r="C165" i="12"/>
  <c r="A166" i="12"/>
  <c r="B166" i="12"/>
  <c r="C166" i="12"/>
  <c r="A167" i="12"/>
  <c r="B167" i="12"/>
  <c r="C167" i="12"/>
  <c r="A168" i="12"/>
  <c r="B168" i="12"/>
  <c r="C168" i="12"/>
  <c r="A169" i="12"/>
  <c r="B169" i="12"/>
  <c r="C169" i="12"/>
  <c r="A170" i="12"/>
  <c r="B170" i="12"/>
  <c r="C170" i="12"/>
  <c r="A171" i="12"/>
  <c r="B171" i="12"/>
  <c r="C171" i="12"/>
  <c r="A172" i="12"/>
  <c r="B172" i="12"/>
  <c r="C172" i="12"/>
  <c r="A173" i="12"/>
  <c r="B173" i="12"/>
  <c r="C173" i="12"/>
  <c r="A174" i="12"/>
  <c r="B174" i="12"/>
  <c r="C174" i="12"/>
  <c r="I174" i="12"/>
  <c r="A175" i="12"/>
  <c r="B175" i="12"/>
  <c r="C175" i="12"/>
  <c r="I175" i="12"/>
  <c r="A176" i="12"/>
  <c r="B176" i="12"/>
  <c r="C176" i="12"/>
  <c r="I176" i="12"/>
  <c r="A177" i="12"/>
  <c r="B177" i="12"/>
  <c r="C177" i="12"/>
  <c r="I177" i="12"/>
  <c r="A178" i="12"/>
  <c r="B178" i="12"/>
  <c r="C178" i="12"/>
  <c r="I178" i="12"/>
  <c r="A179" i="12"/>
  <c r="B179" i="12"/>
  <c r="C179" i="12"/>
  <c r="I179" i="12"/>
  <c r="A180" i="12"/>
  <c r="B180" i="12"/>
  <c r="C180" i="12"/>
  <c r="I180" i="12"/>
  <c r="A181" i="12"/>
  <c r="B181" i="12"/>
  <c r="C181" i="12"/>
  <c r="I181" i="12"/>
  <c r="A182" i="12"/>
  <c r="B182" i="12"/>
  <c r="C182" i="12"/>
  <c r="I182" i="12"/>
  <c r="A183" i="12"/>
  <c r="B183" i="12"/>
  <c r="C183" i="12"/>
  <c r="I183" i="12"/>
  <c r="A184" i="12"/>
  <c r="B184" i="12"/>
  <c r="C184" i="12"/>
  <c r="I184" i="12"/>
  <c r="A185" i="12"/>
  <c r="B185" i="12"/>
  <c r="C185" i="12"/>
  <c r="I185" i="12"/>
  <c r="A186" i="12"/>
  <c r="B186" i="12"/>
  <c r="C186" i="12"/>
  <c r="I186" i="12"/>
  <c r="A187" i="12"/>
  <c r="B187" i="12"/>
  <c r="C187" i="12"/>
  <c r="I187" i="12"/>
  <c r="A188" i="12"/>
  <c r="B188" i="12"/>
  <c r="C188" i="12"/>
  <c r="I188" i="12"/>
  <c r="A189" i="12"/>
  <c r="B189" i="12"/>
  <c r="C189" i="12"/>
  <c r="I189" i="12"/>
  <c r="A190" i="12"/>
  <c r="B190" i="12"/>
  <c r="C190" i="12"/>
  <c r="I190" i="12"/>
  <c r="A191" i="12"/>
  <c r="B191" i="12"/>
  <c r="C191" i="12"/>
  <c r="I191" i="12"/>
  <c r="A192" i="12"/>
  <c r="B192" i="12"/>
  <c r="C192" i="12"/>
  <c r="I192" i="12"/>
  <c r="A193" i="12"/>
  <c r="B193" i="12"/>
  <c r="C193" i="12"/>
  <c r="I193" i="12"/>
  <c r="A194" i="12"/>
  <c r="B194" i="12"/>
  <c r="C194" i="12"/>
  <c r="I194" i="12"/>
  <c r="A195" i="12"/>
  <c r="B195" i="12"/>
  <c r="C195" i="12"/>
  <c r="I195" i="12"/>
  <c r="A196" i="12"/>
  <c r="B196" i="12"/>
  <c r="C196" i="12"/>
  <c r="I196" i="12"/>
  <c r="A197" i="12"/>
  <c r="B197" i="12"/>
  <c r="C197" i="12"/>
  <c r="I197" i="12"/>
  <c r="A198" i="12"/>
  <c r="B198" i="12"/>
  <c r="C198" i="12"/>
  <c r="A199" i="12"/>
  <c r="B199" i="12"/>
  <c r="C199" i="12"/>
  <c r="A200" i="12"/>
  <c r="B200" i="12"/>
  <c r="C200" i="12"/>
  <c r="A201" i="12"/>
  <c r="B201" i="12"/>
  <c r="C201" i="12"/>
  <c r="A202" i="12"/>
  <c r="B202" i="12"/>
  <c r="C202" i="12"/>
  <c r="A203" i="12"/>
  <c r="B203" i="12"/>
  <c r="C203" i="12"/>
  <c r="A107" i="12"/>
  <c r="B107" i="12"/>
  <c r="C107" i="12"/>
  <c r="A108" i="12"/>
  <c r="B108" i="12"/>
  <c r="C108" i="12"/>
  <c r="A109" i="12"/>
  <c r="B109" i="12"/>
  <c r="C109" i="12"/>
  <c r="A110" i="12"/>
  <c r="B110" i="12"/>
  <c r="C110" i="12"/>
  <c r="A111" i="12"/>
  <c r="B111" i="12"/>
  <c r="C111" i="12"/>
  <c r="A112" i="12"/>
  <c r="B112" i="12"/>
  <c r="C112" i="12"/>
  <c r="A113" i="12"/>
  <c r="B113" i="12"/>
  <c r="C113" i="12"/>
  <c r="A114" i="12"/>
  <c r="B114" i="12"/>
  <c r="C114" i="12"/>
  <c r="A115" i="12"/>
  <c r="B115" i="12"/>
  <c r="C115" i="12"/>
  <c r="A116" i="12"/>
  <c r="B116" i="12"/>
  <c r="C116" i="12"/>
  <c r="A117" i="12"/>
  <c r="B117" i="12"/>
  <c r="C117" i="12"/>
  <c r="A118" i="12"/>
  <c r="B118" i="12"/>
  <c r="C118" i="12"/>
  <c r="A119" i="12"/>
  <c r="B119" i="12"/>
  <c r="C119" i="12"/>
  <c r="A120" i="12"/>
  <c r="B120" i="12"/>
  <c r="C120" i="12"/>
  <c r="A121" i="12"/>
  <c r="B121" i="12"/>
  <c r="C121" i="12"/>
  <c r="A122" i="12"/>
  <c r="B122" i="12"/>
  <c r="C122" i="12"/>
  <c r="A123" i="12"/>
  <c r="B123" i="12"/>
  <c r="C123" i="12"/>
  <c r="A124" i="12"/>
  <c r="B124" i="12"/>
  <c r="C124" i="12"/>
  <c r="A125" i="12"/>
  <c r="B125" i="12"/>
  <c r="C125" i="12"/>
  <c r="A126" i="12"/>
  <c r="B126" i="12"/>
  <c r="C126" i="12"/>
  <c r="A127" i="12"/>
  <c r="B127" i="12"/>
  <c r="C127" i="12"/>
  <c r="A128" i="12"/>
  <c r="B128" i="12"/>
  <c r="C128" i="12"/>
  <c r="A129" i="12"/>
  <c r="B129" i="12"/>
  <c r="C129" i="12"/>
  <c r="A130" i="12"/>
  <c r="B130" i="12"/>
  <c r="C130" i="12"/>
  <c r="A131" i="12"/>
  <c r="B131" i="12"/>
  <c r="C131" i="12"/>
  <c r="A132" i="12"/>
  <c r="B132" i="12"/>
  <c r="C132" i="12"/>
  <c r="A133" i="12"/>
  <c r="B133" i="12"/>
  <c r="C133" i="12"/>
  <c r="A134" i="12"/>
  <c r="B134" i="12"/>
  <c r="C134" i="12"/>
  <c r="A135" i="12"/>
  <c r="B135" i="12"/>
  <c r="C135" i="12"/>
  <c r="A136" i="12"/>
  <c r="B136" i="12"/>
  <c r="C136" i="12"/>
  <c r="A137" i="12"/>
  <c r="B137" i="12"/>
  <c r="C137" i="12"/>
  <c r="A138" i="12"/>
  <c r="B138" i="12"/>
  <c r="C138" i="12"/>
  <c r="A139" i="12"/>
  <c r="B139" i="12"/>
  <c r="C139" i="12"/>
  <c r="A140" i="12"/>
  <c r="B140" i="12"/>
  <c r="C140" i="12"/>
  <c r="A141" i="12"/>
  <c r="B141" i="12"/>
  <c r="C141" i="12"/>
  <c r="A142" i="12"/>
  <c r="B142" i="12"/>
  <c r="C142" i="12"/>
  <c r="A143" i="12"/>
  <c r="B143" i="12"/>
  <c r="C143" i="12"/>
  <c r="A144" i="12"/>
  <c r="B144" i="12"/>
  <c r="C144" i="12"/>
  <c r="A145" i="12"/>
  <c r="B145" i="12"/>
  <c r="C145" i="12"/>
  <c r="A146" i="12"/>
  <c r="B146" i="12"/>
  <c r="C146" i="12"/>
  <c r="A147" i="12"/>
  <c r="B147" i="12"/>
  <c r="C147" i="12"/>
  <c r="A148" i="12"/>
  <c r="B148" i="12"/>
  <c r="C148" i="12"/>
  <c r="A149" i="12"/>
  <c r="B149" i="12"/>
  <c r="C149" i="12"/>
  <c r="A150" i="12"/>
  <c r="B150" i="12"/>
  <c r="C150" i="12"/>
  <c r="A151" i="12"/>
  <c r="B151" i="12"/>
  <c r="C151" i="12"/>
  <c r="A152" i="12"/>
  <c r="B152" i="12"/>
  <c r="C152" i="12"/>
  <c r="A153" i="12"/>
  <c r="B153" i="12"/>
  <c r="C153" i="12"/>
  <c r="A57" i="12"/>
  <c r="B57" i="12"/>
  <c r="C57" i="12"/>
  <c r="A58" i="12"/>
  <c r="B58" i="12"/>
  <c r="C58" i="12"/>
  <c r="A59" i="12"/>
  <c r="B59" i="12"/>
  <c r="C59" i="12"/>
  <c r="A60" i="12"/>
  <c r="B60" i="12"/>
  <c r="C60" i="12"/>
  <c r="A61" i="12"/>
  <c r="B61" i="12"/>
  <c r="C61" i="12"/>
  <c r="A62" i="12"/>
  <c r="B62" i="12"/>
  <c r="C62" i="12"/>
  <c r="A63" i="12"/>
  <c r="B63" i="12"/>
  <c r="C63" i="12"/>
  <c r="A64" i="12"/>
  <c r="B64" i="12"/>
  <c r="C64" i="12"/>
  <c r="A65" i="12"/>
  <c r="B65" i="12"/>
  <c r="C65" i="12"/>
  <c r="A66" i="12"/>
  <c r="B66" i="12"/>
  <c r="C66" i="12"/>
  <c r="A67" i="12"/>
  <c r="B67" i="12"/>
  <c r="C67" i="12"/>
  <c r="A68" i="12"/>
  <c r="B68" i="12"/>
  <c r="C68" i="12"/>
  <c r="A69" i="12"/>
  <c r="B69" i="12"/>
  <c r="C69" i="12"/>
  <c r="A70" i="12"/>
  <c r="B70" i="12"/>
  <c r="C70" i="12"/>
  <c r="A71" i="12"/>
  <c r="B71" i="12"/>
  <c r="C71" i="12"/>
  <c r="A72" i="12"/>
  <c r="B72" i="12"/>
  <c r="C72" i="12"/>
  <c r="A73" i="12"/>
  <c r="B73" i="12"/>
  <c r="C73" i="12"/>
  <c r="A74" i="12"/>
  <c r="B74" i="12"/>
  <c r="C74" i="12"/>
  <c r="A75" i="12"/>
  <c r="B75" i="12"/>
  <c r="C75" i="12"/>
  <c r="A76" i="12"/>
  <c r="B76" i="12"/>
  <c r="C76" i="12"/>
  <c r="A77" i="12"/>
  <c r="B77" i="12"/>
  <c r="C77" i="12"/>
  <c r="A78" i="12"/>
  <c r="B78" i="12"/>
  <c r="C78" i="12"/>
  <c r="A79" i="12"/>
  <c r="B79" i="12"/>
  <c r="C79" i="12"/>
  <c r="A80" i="12"/>
  <c r="B80" i="12"/>
  <c r="C80" i="12"/>
  <c r="A81" i="12"/>
  <c r="B81" i="12"/>
  <c r="C81" i="12"/>
  <c r="A82" i="12"/>
  <c r="B82" i="12"/>
  <c r="C82" i="12"/>
  <c r="A83" i="12"/>
  <c r="B83" i="12"/>
  <c r="C83" i="12"/>
  <c r="A84" i="12"/>
  <c r="B84" i="12"/>
  <c r="C84" i="12"/>
  <c r="A85" i="12"/>
  <c r="B85" i="12"/>
  <c r="C85" i="12"/>
  <c r="A86" i="12"/>
  <c r="B86" i="12"/>
  <c r="C86" i="12"/>
  <c r="A87" i="12"/>
  <c r="B87" i="12"/>
  <c r="C87" i="12"/>
  <c r="A88" i="12"/>
  <c r="B88" i="12"/>
  <c r="C88" i="12"/>
  <c r="A89" i="12"/>
  <c r="B89" i="12"/>
  <c r="C89" i="12"/>
  <c r="A90" i="12"/>
  <c r="B90" i="12"/>
  <c r="C90" i="12"/>
  <c r="A91" i="12"/>
  <c r="B91" i="12"/>
  <c r="C91" i="12"/>
  <c r="A92" i="12"/>
  <c r="B92" i="12"/>
  <c r="C92" i="12"/>
  <c r="A93" i="12"/>
  <c r="B93" i="12"/>
  <c r="C93" i="12"/>
  <c r="A94" i="12"/>
  <c r="B94" i="12"/>
  <c r="C94" i="12"/>
  <c r="A95" i="12"/>
  <c r="B95" i="12"/>
  <c r="C95" i="12"/>
  <c r="A96" i="12"/>
  <c r="B96" i="12"/>
  <c r="C96" i="12"/>
  <c r="A97" i="12"/>
  <c r="B97" i="12"/>
  <c r="C97" i="12"/>
  <c r="A98" i="12"/>
  <c r="B98" i="12"/>
  <c r="C98" i="12"/>
  <c r="A99" i="12"/>
  <c r="B99" i="12"/>
  <c r="C99" i="12"/>
  <c r="A100" i="12"/>
  <c r="B100" i="12"/>
  <c r="C100" i="12"/>
  <c r="A101" i="12"/>
  <c r="B101" i="12"/>
  <c r="C101" i="12"/>
  <c r="A102" i="12"/>
  <c r="B102" i="12"/>
  <c r="C102" i="12"/>
  <c r="A103" i="12"/>
  <c r="B103" i="12"/>
  <c r="C103" i="12"/>
  <c r="A7" i="12"/>
  <c r="B7" i="12"/>
  <c r="C7" i="12"/>
  <c r="A8" i="12"/>
  <c r="B8" i="12"/>
  <c r="C8" i="12"/>
  <c r="A9" i="12"/>
  <c r="B9" i="12"/>
  <c r="C9" i="12"/>
  <c r="A10" i="12"/>
  <c r="B10" i="12"/>
  <c r="C10" i="12"/>
  <c r="A11" i="12"/>
  <c r="B11" i="12"/>
  <c r="C11" i="12"/>
  <c r="A12" i="12"/>
  <c r="B12" i="12"/>
  <c r="C12" i="12"/>
  <c r="A13" i="12"/>
  <c r="B13" i="12"/>
  <c r="C13" i="12"/>
  <c r="A14" i="12"/>
  <c r="B14" i="12"/>
  <c r="C14" i="12"/>
  <c r="A15" i="12"/>
  <c r="B15" i="12"/>
  <c r="C15" i="12"/>
  <c r="A16" i="12"/>
  <c r="B16" i="12"/>
  <c r="C16" i="12"/>
  <c r="A17" i="12"/>
  <c r="B17" i="12"/>
  <c r="C17" i="12"/>
  <c r="A18" i="12"/>
  <c r="B18" i="12"/>
  <c r="C18" i="12"/>
  <c r="A19" i="12"/>
  <c r="B19" i="12"/>
  <c r="C19" i="12"/>
  <c r="A20" i="12"/>
  <c r="B20" i="12"/>
  <c r="C20" i="12"/>
  <c r="A21" i="12"/>
  <c r="B21" i="12"/>
  <c r="C21" i="12"/>
  <c r="A22" i="12"/>
  <c r="B22" i="12"/>
  <c r="C22" i="12"/>
  <c r="A23" i="12"/>
  <c r="B23" i="12"/>
  <c r="C23" i="12"/>
  <c r="A24" i="12"/>
  <c r="B24" i="12"/>
  <c r="C24" i="12"/>
  <c r="A25" i="12"/>
  <c r="B25" i="12"/>
  <c r="C25" i="12"/>
  <c r="A26" i="12"/>
  <c r="B26" i="12"/>
  <c r="C26" i="12"/>
  <c r="I26" i="12"/>
  <c r="A27" i="12"/>
  <c r="B27" i="12"/>
  <c r="C27" i="12"/>
  <c r="I27" i="12"/>
  <c r="A28" i="12"/>
  <c r="B28" i="12"/>
  <c r="C28" i="12"/>
  <c r="I28" i="12"/>
  <c r="A29" i="12"/>
  <c r="B29" i="12"/>
  <c r="C29" i="12"/>
  <c r="I29" i="12"/>
  <c r="A30" i="12"/>
  <c r="B30" i="12"/>
  <c r="C30" i="12"/>
  <c r="I30" i="12"/>
  <c r="A31" i="12"/>
  <c r="B31" i="12"/>
  <c r="C31" i="12"/>
  <c r="I31" i="12"/>
  <c r="A32" i="12"/>
  <c r="B32" i="12"/>
  <c r="C32" i="12"/>
  <c r="I32" i="12"/>
  <c r="A33" i="12"/>
  <c r="B33" i="12"/>
  <c r="C33" i="12"/>
  <c r="I33" i="12"/>
  <c r="A34" i="12"/>
  <c r="B34" i="12"/>
  <c r="C34" i="12"/>
  <c r="I34" i="12"/>
  <c r="A35" i="12"/>
  <c r="B35" i="12"/>
  <c r="C35" i="12"/>
  <c r="I35" i="12"/>
  <c r="A36" i="12"/>
  <c r="B36" i="12"/>
  <c r="C36" i="12"/>
  <c r="A37" i="12"/>
  <c r="B37" i="12"/>
  <c r="C37" i="12"/>
  <c r="A38" i="12"/>
  <c r="B38" i="12"/>
  <c r="C38" i="12"/>
  <c r="A39" i="12"/>
  <c r="B39" i="12"/>
  <c r="C39" i="12"/>
  <c r="A40" i="12"/>
  <c r="B40" i="12"/>
  <c r="C40" i="12"/>
  <c r="A41" i="12"/>
  <c r="B41" i="12"/>
  <c r="C41" i="12"/>
  <c r="A42" i="12"/>
  <c r="B42" i="12"/>
  <c r="C42" i="12"/>
  <c r="A43" i="12"/>
  <c r="B43" i="12"/>
  <c r="C43" i="12"/>
  <c r="A44" i="12"/>
  <c r="B44" i="12"/>
  <c r="C44" i="12"/>
  <c r="A45" i="12"/>
  <c r="B45" i="12"/>
  <c r="C45" i="12"/>
  <c r="A46" i="12"/>
  <c r="B46" i="12"/>
  <c r="C46" i="12"/>
  <c r="A47" i="12"/>
  <c r="B47" i="12"/>
  <c r="C47" i="12"/>
  <c r="A48" i="12"/>
  <c r="B48" i="12"/>
  <c r="C48" i="12"/>
  <c r="A49" i="12"/>
  <c r="B49" i="12"/>
  <c r="C49" i="12"/>
  <c r="A50" i="12"/>
  <c r="B50" i="12"/>
  <c r="C50" i="12"/>
  <c r="A51" i="12"/>
  <c r="B51" i="12"/>
  <c r="C51" i="12"/>
  <c r="A52" i="12"/>
  <c r="B52" i="12"/>
  <c r="C52" i="12"/>
  <c r="A53" i="12"/>
  <c r="B53" i="12"/>
  <c r="C53" i="12"/>
</calcChain>
</file>

<file path=xl/sharedStrings.xml><?xml version="1.0" encoding="utf-8"?>
<sst xmlns="http://schemas.openxmlformats.org/spreadsheetml/2006/main" count="4795" uniqueCount="1075">
  <si>
    <t>Arm</t>
  </si>
  <si>
    <t>Run</t>
  </si>
  <si>
    <t>File</t>
  </si>
  <si>
    <t>Category</t>
  </si>
  <si>
    <t>Credit ID</t>
  </si>
  <si>
    <t>Credit Name</t>
  </si>
  <si>
    <t>Max Points</t>
  </si>
  <si>
    <t>Applicability</t>
  </si>
  <si>
    <t>Estimated Level</t>
  </si>
  <si>
    <t>Estimated Points</t>
  </si>
  <si>
    <t>% Achieved</t>
  </si>
  <si>
    <t>Justification</t>
  </si>
  <si>
    <t>Questions Summary</t>
  </si>
  <si>
    <t>Level Guide Reference</t>
  </si>
  <si>
    <t>Concept Phase Actions</t>
  </si>
  <si>
    <t>Documentation Needed</t>
  </si>
  <si>
    <t>Input Tokens</t>
  </si>
  <si>
    <t>Output Tokens</t>
  </si>
  <si>
    <t>Elapsed (s)</t>
  </si>
  <si>
    <t>Valid JSON</t>
  </si>
  <si>
    <t>Truncated</t>
  </si>
  <si>
    <t>Success</t>
  </si>
  <si>
    <t>rag</t>
  </si>
  <si>
    <t>00_sample_project</t>
  </si>
  <si>
    <t>Climate And Resilience</t>
  </si>
  <si>
    <t>CR2.1</t>
  </si>
  <si>
    <t>Avoid Unsuitable Development</t>
  </si>
  <si>
    <t>Applicable</t>
  </si>
  <si>
    <t>No Level</t>
  </si>
  <si>
    <t>QA:Insufficient Data(No information on site selection process) | QB:Insufficient Data(No environmental impact assessment available)</t>
  </si>
  <si>
    <t>A + B required for Improved</t>
  </si>
  <si>
    <t>Conduct site selection process with environmental considerations; Perform environmental impact assessment</t>
  </si>
  <si>
    <t>Site selection report; Environmental impact assessment</t>
  </si>
  <si>
    <t>CR2.2</t>
  </si>
  <si>
    <t>Assess Climate Change Vulnerability</t>
  </si>
  <si>
    <t>Improved</t>
  </si>
  <si>
    <t>QA:Likely Yes(Project location in Brownsville, PA, suggests potential climate change impacts) | QB:Insufficient Data(No vulnerability assessment available)</t>
  </si>
  <si>
    <t>Conduct climate change vulnerability assessment</t>
  </si>
  <si>
    <t>Climate change vulnerability assessment report</t>
  </si>
  <si>
    <t>CR2.3</t>
  </si>
  <si>
    <t>Evaluate Risk and Resilience</t>
  </si>
  <si>
    <t>QA:Insufficient Data(No risk assessment available) | QB:Insufficient Data(No identification of critical functions and dependencies)</t>
  </si>
  <si>
    <t>A + B + C + D + E required for Conserving</t>
  </si>
  <si>
    <t>Conduct risk assessment; Identify critical functions and dependencies</t>
  </si>
  <si>
    <t>Risk assessment report; Critical functions and dependencies identification document</t>
  </si>
  <si>
    <t>CR2.4</t>
  </si>
  <si>
    <t>Establish Resilience Goals and Strategies</t>
  </si>
  <si>
    <t>QA:Insufficient Data(No project performance goals available) | QB:Insufficient Data(No risk management strategies developed)</t>
  </si>
  <si>
    <t>A + B required for Enhanced</t>
  </si>
  <si>
    <t>Develop project performance goals; Establish risk management strategies</t>
  </si>
  <si>
    <t>Project performance goals document; Risk management strategies report</t>
  </si>
  <si>
    <t>CR2.5</t>
  </si>
  <si>
    <t>Maximize Resilience</t>
  </si>
  <si>
    <t>QA:Insufficient Data(No resilience goals and strategies developed) | QB:Insufficient Data(No implementation of resilience strategies)</t>
  </si>
  <si>
    <t>Develop resilience goals and strategies; Implement resilience strategies</t>
  </si>
  <si>
    <t>Resilience goals and strategies document; Resilience strategies implementation report</t>
  </si>
  <si>
    <t>CR2.6</t>
  </si>
  <si>
    <t>Improve Infrastructure Integration</t>
  </si>
  <si>
    <t>QA:Insufficient Data(No consideration of infrastructure integration) | QB:Insufficient Data(No evaluation of systems performance)</t>
  </si>
  <si>
    <t>Consider infrastructure integration; Evaluate systems performance</t>
  </si>
  <si>
    <t>Infrastructure integration report; Systems performance evaluation document</t>
  </si>
  <si>
    <t>Leadership</t>
  </si>
  <si>
    <t>LD1.1</t>
  </si>
  <si>
    <t>Provide Effective Leadership and Commitment</t>
  </si>
  <si>
    <t>QA:Likely Yes(Project team includes multiple stakeholders (Cartesian Inverse, PA; Etienne Oise) | QB:Insufficient Data(No information on sustainability goals or targets)</t>
  </si>
  <si>
    <t>Develop sustainability goals and targets</t>
  </si>
  <si>
    <t>Sustainability management plan; Stakeholder engagement records</t>
  </si>
  <si>
    <t>LD1.2</t>
  </si>
  <si>
    <t>Foster Collaboration and Teamwork</t>
  </si>
  <si>
    <t>QA:Likely Yes(Multiple stakeholders involved in project team (Cartesian Inverse, PA; Etienne O) | QB:Insufficient Data(No information on collaboration tools or processes)</t>
  </si>
  <si>
    <t>Establish collaboration tools and processes</t>
  </si>
  <si>
    <t>Collaboration plan; Meeting minutes</t>
  </si>
  <si>
    <t>LD1.3</t>
  </si>
  <si>
    <t>Encourage Public Engagement and Participation</t>
  </si>
  <si>
    <t>QA:Insufficient Data(No information on public engagement or participation) | QB:Insufficient Data(No information on community outreach or education)</t>
  </si>
  <si>
    <t>Develop public engagement and participation plan</t>
  </si>
  <si>
    <t>Public engagement plan; Community outreach records</t>
  </si>
  <si>
    <t>LD1.4</t>
  </si>
  <si>
    <t>Pursue Byproduct Synergies</t>
  </si>
  <si>
    <t>QA:Insufficient Data(No information on byproduct synergies) | QB:Insufficient Data(No information on waste reduction or material reuse)</t>
  </si>
  <si>
    <t>Investigate byproduct synergies and waste reduction opportunities</t>
  </si>
  <si>
    <t>Byproduct synergy plan; Waste reduction strategy</t>
  </si>
  <si>
    <t>LD2.1</t>
  </si>
  <si>
    <t>Establish a Sustainability Management Plan</t>
  </si>
  <si>
    <t>QA:Insufficient Data(No information on sustainability management plan) | QB:Insufficient Data(No information on monitoring and reporting processes)</t>
  </si>
  <si>
    <t>Develop sustainability management plan</t>
  </si>
  <si>
    <t>Sustainability management plan; Monitoring and reporting records</t>
  </si>
  <si>
    <t>LD2.2</t>
  </si>
  <si>
    <t>Plan for Sustainable Communities</t>
  </si>
  <si>
    <t>QA:Insufficient Data(No information on community planning or development) | QB:Insufficient Data(No information on social and economic benefits)</t>
  </si>
  <si>
    <t>Develop community planning and development strategy</t>
  </si>
  <si>
    <t>Community plan; Social and economic benefit analysis</t>
  </si>
  <si>
    <t>LD2.3</t>
  </si>
  <si>
    <t>Conduct a Life-Cycle Economic Evaluation</t>
  </si>
  <si>
    <t>QA:Insufficient Data(No information on life-cycle economic evaluation) | QB:Insufficient Data(No information on cost-benefit analysis or return on investment)</t>
  </si>
  <si>
    <t>Conduct life-cycle economic evaluation</t>
  </si>
  <si>
    <t>Life-cycle economic evaluation report; Cost-benefit analysis</t>
  </si>
  <si>
    <t>LD3.1</t>
  </si>
  <si>
    <t>Develop a Construction Management Plan</t>
  </si>
  <si>
    <t>QA:Insufficient Data(No information on construction management plan) | QB:Insufficient Data(No information on waste reduction or material reuse during construction)</t>
  </si>
  <si>
    <t>Develop construction management plan</t>
  </si>
  <si>
    <t>Construction management plan; Waste reduction strategy</t>
  </si>
  <si>
    <t>LD3.2</t>
  </si>
  <si>
    <t>Implement a Quality Control and Assurance Plan</t>
  </si>
  <si>
    <t>QA:Insufficient Data(No information on quality control and assurance plan) | QB:Insufficient Data(No information on testing or inspection procedures)</t>
  </si>
  <si>
    <t>Develop quality control and assurance plan</t>
  </si>
  <si>
    <t>Quality control and assurance plan; Testing or inspection records</t>
  </si>
  <si>
    <t>LD3.3</t>
  </si>
  <si>
    <t>Conduct a Life-Cycle Assessment</t>
  </si>
  <si>
    <t>QA:Insufficient Data(No information on life-cycle assessment) | QB:Insufficient Data(No information on environmental impacts or benefits)</t>
  </si>
  <si>
    <t>Conduct life-cycle assessment</t>
  </si>
  <si>
    <t>Life-cycle assessment report; Environmental impact analysis</t>
  </si>
  <si>
    <t>Natural World</t>
  </si>
  <si>
    <t>NW1.1</t>
  </si>
  <si>
    <t>Conserve Natural Areas</t>
  </si>
  <si>
    <t>APPLICABLE</t>
  </si>
  <si>
    <t>The project is located in an area with potential natural habitats and ecosystems, making conservation of natural areas relevant.</t>
  </si>
  <si>
    <t>QA:Insufficient Data(No information on natural habitat preservation) | QB:Insufficient Data(No data on native plant species used in landscaping)</t>
  </si>
  <si>
    <t>Conduct site assessment to identify natural habitats; Research local native plant species for landscaping</t>
  </si>
  <si>
    <t>Site assessment report; Native plant species list</t>
  </si>
  <si>
    <t>NW1.2</t>
  </si>
  <si>
    <t>Provide Wetland and Surface Water Buffers</t>
  </si>
  <si>
    <t>The project's location near water bodies makes wetland and surface water buffers relevant.</t>
  </si>
  <si>
    <t>QA:Insufficient Data(No information on wetland or surface water buffer zones) | QB:Insufficient Data(No data on buffer zone maintenance plans)</t>
  </si>
  <si>
    <t>Conduct wetland and surface water assessment; Develop buffer zone maintenance plan</t>
  </si>
  <si>
    <t>Wetland and surface water assessment report; Buffer zone maintenance plan</t>
  </si>
  <si>
    <t>NW2.2</t>
  </si>
  <si>
    <t>Manage Stormwater</t>
  </si>
  <si>
    <t>The project's potential impact on stormwater runoff makes management relevant.</t>
  </si>
  <si>
    <t>QA:Insufficient Data(No information on stormwater management strategies) | QB:Insufficient Data(No data on stormwater runoff reduction targets)</t>
  </si>
  <si>
    <t>Develop stormwater management plan; Set stormwater runoff reduction targets</t>
  </si>
  <si>
    <t>Stormwater management plan; Runoff reduction target documentation</t>
  </si>
  <si>
    <t>NW2.4</t>
  </si>
  <si>
    <t>Protect Surface and Groundwater Quality</t>
  </si>
  <si>
    <t>The project's potential impact on surface and groundwater quality makes protection relevant.</t>
  </si>
  <si>
    <t>QA:Insufficient Data(No information on surface and groundwater protection measures) | QB:Insufficient Data(No data on water quality monitoring plans)</t>
  </si>
  <si>
    <t>Develop surface and groundwater protection plan; Establish water quality monitoring program</t>
  </si>
  <si>
    <t>Surface and groundwater protection plan; Water quality monitoring plan</t>
  </si>
  <si>
    <t>NW3.3</t>
  </si>
  <si>
    <t>Maintain Floodplain Functions</t>
  </si>
  <si>
    <t>The project's location in a floodplain makes maintaining floodplain functions relevant.</t>
  </si>
  <si>
    <t>QA:Insufficient Data(No information on floodplain function preservation) | QB:Insufficient Data(No data on vegetated zone preservation)</t>
  </si>
  <si>
    <t>Conduct floodplain function assessment; Develop plan to preserve vegetated zones</t>
  </si>
  <si>
    <t>Floodplain function assessment report; Vegetated zone preservation plan</t>
  </si>
  <si>
    <t>NW3.5</t>
  </si>
  <si>
    <t>Protect Soil Health</t>
  </si>
  <si>
    <t>The project's potential impact on soil health makes protection relevant.</t>
  </si>
  <si>
    <t>QA:Insufficient Data(No information on soil health protection measures) | QB:Insufficient Data(No data on soil erosion control plans)</t>
  </si>
  <si>
    <t>Develop soil health protection plan; Establish soil erosion control measures</t>
  </si>
  <si>
    <t>Soil health protection plan; Soil erosion control plan</t>
  </si>
  <si>
    <t>Quality Of Life</t>
  </si>
  <si>
    <t>QL1.1</t>
  </si>
  <si>
    <t>Improve Community Quality of Life</t>
  </si>
  <si>
    <t>The project is a mixed-use development with residential, commercial, and community spaces, indicating potential for community quality of life improvements.</t>
  </si>
  <si>
    <t>QA:Likely Yes(Project includes live/work units and community spaces.) | QB:Insufficient Data(Lack of information on community engagement and feedback mechanisms.)</t>
  </si>
  <si>
    <t>Engage with local stakeholders to understand community needs and priorities.</t>
  </si>
  <si>
    <t>Community engagement records; Stakeholder feedback mechanisms</t>
  </si>
  <si>
    <t>QL1.2</t>
  </si>
  <si>
    <t>Enhance Public Health &amp; Safety</t>
  </si>
  <si>
    <t>The project includes residential and commercial spaces, which can impact public health and safety.</t>
  </si>
  <si>
    <t>QA:Likely Yes(Project includes fire resistive walls and smoke barriers.) | QB:Insufficient Data(Lack of information on emergency response planning and evacuation procedures.)</t>
  </si>
  <si>
    <t>Develop emergency response plan and evacuation procedures.</t>
  </si>
  <si>
    <t>Emergency response plan; Evacuation procedure documents</t>
  </si>
  <si>
    <t>QL1.3</t>
  </si>
  <si>
    <t>Improve Construction Safety</t>
  </si>
  <si>
    <t>The project involves construction activities that can impact worker safety.</t>
  </si>
  <si>
    <t>QA:Likely Yes(Project includes safety protocols for workers.) | QB:Insufficient Data(Lack of information on worker training programs and site-specific hazard assessm)</t>
  </si>
  <si>
    <t>Develop worker training programs and conduct site-specific hazard assessments.</t>
  </si>
  <si>
    <t>Worker training records; Site-specific hazard assessment reports</t>
  </si>
  <si>
    <t>QL1.4</t>
  </si>
  <si>
    <t>Minimize Noise &amp; Vibration</t>
  </si>
  <si>
    <t>The project includes residential and commercial spaces that can be impacted by noise and vibration.</t>
  </si>
  <si>
    <t>QA:Likely Yes(Project includes soundproofing measures.) | QB:Insufficient Data(Lack of information on vibration mitigation strategies.)</t>
  </si>
  <si>
    <t>Investigate vibration mitigation strategies and implement soundproofing measures.</t>
  </si>
  <si>
    <t>Soundproofing design documents; Vibration mitigation strategy reports</t>
  </si>
  <si>
    <t>QL1.5</t>
  </si>
  <si>
    <t>Minimize Light Pollution</t>
  </si>
  <si>
    <t>The project includes exterior lighting that can contribute to light pollution.</t>
  </si>
  <si>
    <t>QA:Likely Yes(Project includes energy-efficient lighting.) | QB:Insufficient Data(Lack of information on lighting design and controls.)</t>
  </si>
  <si>
    <t>Develop lighting design and control strategies to minimize light pollution.</t>
  </si>
  <si>
    <t>Lighting design documents; Control strategy reports</t>
  </si>
  <si>
    <t>QL1.6</t>
  </si>
  <si>
    <t>Minimize Construction Impacts</t>
  </si>
  <si>
    <t>The project involves construction activities that can impact the surrounding environment.</t>
  </si>
  <si>
    <t>QA:Likely Yes(Project includes waste management plan.) | QB:Insufficient Data(Lack of information on construction sequencing and scheduling.)</t>
  </si>
  <si>
    <t>Develop construction sequencing and scheduling strategies to minimize impacts.</t>
  </si>
  <si>
    <t>Construction sequencing documents; Scheduling reports</t>
  </si>
  <si>
    <t>QL2.1</t>
  </si>
  <si>
    <t>Improve Community Mobility</t>
  </si>
  <si>
    <t>The project includes residential and commercial spaces that can impact community mobility.</t>
  </si>
  <si>
    <t>QA:Likely Yes(Project includes pedestrian-friendly design.) | QB:Insufficient Data(Lack of information on public transportation access and bikeability.)</t>
  </si>
  <si>
    <t>Investigate public transportation access and bikeability options.</t>
  </si>
  <si>
    <t>Public transportation access reports; Bikeability design documents</t>
  </si>
  <si>
    <t>QL2.2</t>
  </si>
  <si>
    <t>Encourage Sustainable Transportation</t>
  </si>
  <si>
    <t>The project includes parking and transportation infrastructure that can impact sustainable transportation.</t>
  </si>
  <si>
    <t>QA:Likely Yes(Project includes electric vehicle charging stations.) | QB:Insufficient Data(Lack of information on alternative transportation options and incentives.)</t>
  </si>
  <si>
    <t>Investigate alternative transportation options and incentives.</t>
  </si>
  <si>
    <t>Alternative transportation option reports; Incentive program documents</t>
  </si>
  <si>
    <t>QL2.3</t>
  </si>
  <si>
    <t>Improve Access &amp; Wayfinding</t>
  </si>
  <si>
    <t>The project includes public spaces that can impact access and wayfinding.</t>
  </si>
  <si>
    <t>QA:Likely Yes(Project includes clear signage and navigation.) | QB:Insufficient Data(Lack of information on accessibility features and universal design principles.)</t>
  </si>
  <si>
    <t>Investigate accessibility features and universal design principles.</t>
  </si>
  <si>
    <t>Accessibility feature reports; Universal design principle documents</t>
  </si>
  <si>
    <t>QL3.1</t>
  </si>
  <si>
    <t>Advance Equity &amp; Social Justice</t>
  </si>
  <si>
    <t>The project includes community spaces that can impact equity and social justice.</t>
  </si>
  <si>
    <t>QA:Likely Yes(Project includes community engagement and outreach.) | QB:Insufficient Data(Lack of information on inclusive design principles and social impact assessments)</t>
  </si>
  <si>
    <t>Investigate inclusive design principles and social impact assessments.</t>
  </si>
  <si>
    <t>Inclusive design principle reports; Social impact assessment documents</t>
  </si>
  <si>
    <t>QL3.2</t>
  </si>
  <si>
    <t>Preserve Historic &amp; Cultural Resources</t>
  </si>
  <si>
    <t>Not Applicable</t>
  </si>
  <si>
    <t>The project does not involve historic or cultural resources.</t>
  </si>
  <si>
    <t>QL3.3</t>
  </si>
  <si>
    <t>Enhance Views &amp; Local Character</t>
  </si>
  <si>
    <t>The project includes public spaces that can impact views and local character.</t>
  </si>
  <si>
    <t>QA:Likely Yes(Project includes design elements that enhance local character.) | QB:Insufficient Data(Lack of information on view preservation and enhancement strategies.)</t>
  </si>
  <si>
    <t>Investigate view preservation and enhancement strategies.</t>
  </si>
  <si>
    <t>View preservation reports; Enhancement strategy documents</t>
  </si>
  <si>
    <t>Resource Allocation</t>
  </si>
  <si>
    <t>RA1.1</t>
  </si>
  <si>
    <t>Reduce Materials Use</t>
  </si>
  <si>
    <t>QA:Insufficient Data(No material takeoff or bill of quantities in the model) | QB:Insufficient Data(No information on recycled content or sustainable materials)</t>
  </si>
  <si>
    <t>Develop a material takeoff and bill of quantities; Research sustainable materials and recycled content options</t>
  </si>
  <si>
    <t>Material takeoff and bill of quantities; Sustainable materials and recycled content research</t>
  </si>
  <si>
    <t>RA1.2</t>
  </si>
  <si>
    <t>Use Recycled Materials</t>
  </si>
  <si>
    <t>QA:Insufficient Data(No information on recycled materials used in the project) | QB:Insufficient Data(No documentation of recycled material quantities)</t>
  </si>
  <si>
    <t>Research recycled material options; Develop a plan for incorporating recycled materials into the project</t>
  </si>
  <si>
    <t>Recycled material research; Plan for incorporating recycled materials</t>
  </si>
  <si>
    <t>RA1.3</t>
  </si>
  <si>
    <t>Reduce Operational Waste</t>
  </si>
  <si>
    <t>QA:Insufficient Data(No information on operational waste reduction strategies) | QB:Insufficient Data(No documentation of waste reduction goals or targets)</t>
  </si>
  <si>
    <t>Develop a plan for reducing operational waste; Research waste reduction strategies and technologies</t>
  </si>
  <si>
    <t>Operational waste reduction plan; Waste reduction goals or targets</t>
  </si>
  <si>
    <t>RA1.4</t>
  </si>
  <si>
    <t>Reduce Construction Waste</t>
  </si>
  <si>
    <t>QA:Insufficient Data(No information on construction waste reduction strategies) | QB:Insufficient Data(No documentation of waste reduction goals or targets)</t>
  </si>
  <si>
    <t>Develop a plan for reducing construction waste; Research waste reduction strategies and technologies</t>
  </si>
  <si>
    <t>Construction waste reduction plan; Waste reduction goals or targets</t>
  </si>
  <si>
    <t>RA1.5</t>
  </si>
  <si>
    <t>Balance Earthwork On Site</t>
  </si>
  <si>
    <t>QA:Insufficient Data(No information on earthwork balancing strategies) | QB:Insufficient Data(No documentation of earthwork balancing goals or targets)</t>
  </si>
  <si>
    <t>Develop a plan for balancing earthwork on site; Research earthwork balancing strategies and technologies</t>
  </si>
  <si>
    <t>Earthwork balancing plan; Earthwork balancing goals or targets</t>
  </si>
  <si>
    <t>RA2.1</t>
  </si>
  <si>
    <t>Reduce Operational Energy Consumption</t>
  </si>
  <si>
    <t>QA:Insufficient Data(No information on operational energy consumption reduction strategies) | QB:Insufficient Data(No documentation of energy reduction goals or targets)</t>
  </si>
  <si>
    <t>Develop a plan for reducing operational energy consumption; Research energy reduction strategies and technologies</t>
  </si>
  <si>
    <t>Operational energy reduction plan; Energy reduction goals or targets</t>
  </si>
  <si>
    <t>RA2.2</t>
  </si>
  <si>
    <t>Reduce Construction Energy Consumption</t>
  </si>
  <si>
    <t>QA:Insufficient Data(No information on construction energy consumption reduction strategies) | QB:Insufficient Data(No documentation of energy reduction goals or targets)</t>
  </si>
  <si>
    <t>Develop a plan for reducing construction energy consumption; Research energy reduction strategies and technologies</t>
  </si>
  <si>
    <t>Construction energy reduction plan; Energy reduction goals or targets</t>
  </si>
  <si>
    <t>RA2.3</t>
  </si>
  <si>
    <t>Use Renewable Energy</t>
  </si>
  <si>
    <t>QA:Insufficient Data(No information on renewable energy sources) | QB:Insufficient Data(No documentation of renewable energy goals or targets)</t>
  </si>
  <si>
    <t>Research renewable energy sources; Develop a plan for incorporating renewable energy into the project</t>
  </si>
  <si>
    <t>Renewable energy research; Plan for incorporating renewable energy</t>
  </si>
  <si>
    <t>RA2.4</t>
  </si>
  <si>
    <t>Commission and Monitor Energy Systems</t>
  </si>
  <si>
    <t>QA:Insufficient Data(No information on energy system commissioning or monitoring) | QB:Insufficient Data(No documentation of energy system performance goals or targets)</t>
  </si>
  <si>
    <t>Develop a plan for commissioning and monitoring energy systems; Research energy system performance metrics</t>
  </si>
  <si>
    <t>Energy system commissioning and monitoring plan; Energy system performance goals or targets</t>
  </si>
  <si>
    <t>RA3.1</t>
  </si>
  <si>
    <t>Preserve Water Resources</t>
  </si>
  <si>
    <t>QA:Insufficient Data(No information on water conservation strategies) | QB:Insufficient Data(No documentation of water reduction goals or targets)</t>
  </si>
  <si>
    <t>Develop a plan for preserving water resources; Research water conservation strategies and technologies</t>
  </si>
  <si>
    <t>Water preservation plan; Water reduction goals or targets</t>
  </si>
  <si>
    <t>RA3.2</t>
  </si>
  <si>
    <t>Reduce Operational Water Consumption</t>
  </si>
  <si>
    <t>QA:Insufficient Data(No information on operational water consumption reduction strategies) | QB:Insufficient Data(No documentation of water reduction goals or targets)</t>
  </si>
  <si>
    <t>Develop a plan for reducing operational water consumption; Research water reduction strategies and technologies</t>
  </si>
  <si>
    <t>Operational water reduction plan; Water reduction goals or targets</t>
  </si>
  <si>
    <t>RA3.3</t>
  </si>
  <si>
    <t>Reduce Construction Water Consumption</t>
  </si>
  <si>
    <t>QA:Insufficient Data(No information on construction water consumption reduction strategies) | QB:Insufficient Data(No documentation of water reduction goals or targets)</t>
  </si>
  <si>
    <t>Develop a plan for reducing construction water consumption; Research water reduction strategies and technologies</t>
  </si>
  <si>
    <t>Construction water reduction plan; Water reduction goals or targets</t>
  </si>
  <si>
    <t>RA3.4</t>
  </si>
  <si>
    <t>Monitor Water Systems</t>
  </si>
  <si>
    <t>QA:Insufficient Data(No information on water system monitoring) | QB:Insufficient Data(No documentation of water system performance goals or targets)</t>
  </si>
  <si>
    <t>Develop a plan for monitoring water systems; Research water system performance metrics</t>
  </si>
  <si>
    <t>Water system monitoring plan; Water system performance goals or targets</t>
  </si>
  <si>
    <t>The project is located in Brownsville, PA, and has a significant impact on the community. It would be difficult to demonstrate that this credit is not relevant or applicable.</t>
  </si>
  <si>
    <t>QA:Insufficient Data(No information on site selection process) | QB:Insufficient Data(No information on environmental impact assessment)</t>
  </si>
  <si>
    <t>Conduct site selection process; Perform environmental impact assessment</t>
  </si>
  <si>
    <t>Site selection report; Environmental impact assessment report</t>
  </si>
  <si>
    <t>The project is potentially impacted by climate change, and it would be difficult to demonstrate that this credit is not relevant or applicable.</t>
  </si>
  <si>
    <t>QA:Insufficient Data(No information on climate change threats) | QB:Insufficient Data(No information on project vulnerability) | QC:Insufficient Data(No information on infrastructure system vulnerability) | QD:Insufficient Data(No information on community vulnerability) | QE:Insufficient Data(No information on sharing climate threat findings)</t>
  </si>
  <si>
    <t>Conduct climate change vulnerability assessment; Identify project and infrastructure system vulnerabilities</t>
  </si>
  <si>
    <t>Climate change vulnerability assessment report; Project and infrastructure system vulnerability reports</t>
  </si>
  <si>
    <t>The project is exposed to risks, and it would be difficult to demonstrate that this credit is not relevant or applicable.</t>
  </si>
  <si>
    <t>QA:Insufficient Data(No information on risk assessment) | QB:Insufficient Data(No information on critical functions and dependencies) | QC:Insufficient Data(No information on threats or hazards) | QD:Insufficient Data(No information on vulnerabilities of critical functions and dependencies) | QE:Insufficient Data(No information on risk evaluation) | QF:Insufficient Data(No information on stakeholder participation in risk evaluation)</t>
  </si>
  <si>
    <t>A + B + C + D + E required for Improved</t>
  </si>
  <si>
    <t>Conduct risk assessment; Identify critical functions and dependencies; Evaluate risks</t>
  </si>
  <si>
    <t>Risk assessment report; Critical functions and dependencies report; Risk evaluation report</t>
  </si>
  <si>
    <t>QA:Insufficient Data(No information on project performance goals and risk appetite) | QB:Insufficient Data(No information on risk management strategies) | QC:Insufficient Data(No information on stakeholder engagement in developing resilience goals) | QD:Insufficient Data(No information on community resilience or climate change adaptation goals)</t>
  </si>
  <si>
    <t>Establish project performance goals and risk appetite; Develop risk management strategies</t>
  </si>
  <si>
    <t>Project performance goals and risk appetite report; Risk management strategies report</t>
  </si>
  <si>
    <t>QA:Insufficient Data(No information on resilience goals and strategies) | QB:Insufficient Data(No information on implementation of resilience strategies) | QC:Insufficient Data(No information on monitoring and review of resilience strategies) | QD:Insufficient Data(No information on incorporation of resilience goals and strategies into operatio) | QE:Insufficient Data(No information on methods for measuring or quantifying resilience performance ta)</t>
  </si>
  <si>
    <t>Resilience goals and strategies report; Implementation of resilience strategies report</t>
  </si>
  <si>
    <t>The project is part of a larger infrastructure system, and it would be difficult to demonstrate that this credit is not relevant or applicable.</t>
  </si>
  <si>
    <t>QA:Insufficient Data(No information on infrastructure integration)</t>
  </si>
  <si>
    <t>A required for Improved</t>
  </si>
  <si>
    <t>Improve infrastructure integration</t>
  </si>
  <si>
    <t>Infrastructure integration report</t>
  </si>
  <si>
    <t>Community plan; Social and economic impact assessment</t>
  </si>
  <si>
    <t>Encourage Sustainable Procurement Practices</t>
  </si>
  <si>
    <t>QA:Insufficient Data(No information on sustainable procurement practices) | QB:Insufficient Data(No information on environmentally responsible purchasing)</t>
  </si>
  <si>
    <t>Develop sustainable procurement plan</t>
  </si>
  <si>
    <t>Sustainable procurement plan; Environmentally responsible purchasing records</t>
  </si>
  <si>
    <t>Support Local and Regional Economies</t>
  </si>
  <si>
    <t>QA:Insufficient Data(No information on local or regional economic benefits) | QB:Insufficient Data(No information on community development or job creation)</t>
  </si>
  <si>
    <t>Develop local and regional economic development strategy</t>
  </si>
  <si>
    <t>Local and regional economic development plan; Community development records</t>
  </si>
  <si>
    <t>QA:Insufficient Data(No information on life-cycle assessment) | QB:Insufficient Data(No information on environmental impacts or resource usage)</t>
  </si>
  <si>
    <t>Life-cycle assessment report; Environmental impact statement</t>
  </si>
  <si>
    <t>The project is located in Brownsville, PA, and has a site plan, indicating potential natural areas to conserve.</t>
  </si>
  <si>
    <t>QA:Insufficient Data(No information on natural area conservation) | QB:Insufficient Data(No information on habitat preservation)</t>
  </si>
  <si>
    <t>Conduct site analysis to identify natural areas; Develop conservation plan</t>
  </si>
  <si>
    <t>Site analysis report; Conservation plan</t>
  </si>
  <si>
    <t>The project has a site plan, indicating potential wetlands or surface water to buffer.</t>
  </si>
  <si>
    <t>QA:Insufficient Data(No information on wetland or surface water buffers) | QB:Insufficient Data(No information on buffer zone size)</t>
  </si>
  <si>
    <t>Conduct site analysis to identify wetlands or surface water; Develop buffer zone plan</t>
  </si>
  <si>
    <t>Site analysis report; Buffer zone plan</t>
  </si>
  <si>
    <t>The project has a site plan, indicating potential stormwater management needs.</t>
  </si>
  <si>
    <t>QA:Insufficient Data(No information on stormwater management) | QB:Insufficient Data(No information on rate or quantity of runoff)</t>
  </si>
  <si>
    <t>Conduct stormwater analysis; Develop stormwater management plan</t>
  </si>
  <si>
    <t>Stormwater analysis report; Stormwater management plan</t>
  </si>
  <si>
    <t>The project has a site plan, indicating potential surface or groundwater quality concerns.</t>
  </si>
  <si>
    <t>QA:Insufficient Data(No information on surface or groundwater quality protection) | QB:Insufficient Data(No information on pollution prevention measures)</t>
  </si>
  <si>
    <t>Conduct water quality analysis; Develop pollution prevention plan</t>
  </si>
  <si>
    <t>Water quality analysis report; Pollution prevention plan</t>
  </si>
  <si>
    <t>The project is located in Brownsville, PA, and has a site plan, indicating potential floodplain functions to maintain.</t>
  </si>
  <si>
    <t>QA:Insufficient Data(No information on floodplain functions) | QB:Insufficient Data(No information on vegetated zones preservation)</t>
  </si>
  <si>
    <t>Conduct floodplain analysis; Develop floodplain management plan</t>
  </si>
  <si>
    <t>Floodplain analysis report; Floodplain management plan</t>
  </si>
  <si>
    <t>The project has a site plan, indicating potential soil health concerns.</t>
  </si>
  <si>
    <t>QA:Insufficient Data(No information on soil health protection) | QB:Insufficient Data(No information on erosion control measures)</t>
  </si>
  <si>
    <t>Conduct soil analysis; Develop erosion control plan</t>
  </si>
  <si>
    <t>Soil analysis report; Erosion control plan</t>
  </si>
  <si>
    <t>QA:Likely Yes(Project includes live/work units and community spaces.) | QB:Insufficient Data(Lack of information on community engagement and feedback mechanisms.) | QC:Likely Yes(Project incorporates green spaces and outdoor areas.) | QD:Insufficient Data(Lack of information on accessibility features and universal design principles.)</t>
  </si>
  <si>
    <t>A + B</t>
  </si>
  <si>
    <t>Conduct community outreach and engagement to inform design decisions.; Incorporate accessible and universal design principles into the project.</t>
  </si>
  <si>
    <t>Community engagement records; Accessibility features and universal design principles documentation</t>
  </si>
  <si>
    <t>The project includes residential and commercial spaces, indicating potential public health and safety concerns.</t>
  </si>
  <si>
    <t>QA:Likely Yes(Project incorporates natural ventilation and daylighting strategies.) | QB:Insufficient Data(Lack of information on indoor air quality monitoring and maintenance protocols.) | QC:Likely Yes(Project includes emergency response plan and fire suppression systems.)</t>
  </si>
  <si>
    <t>Develop indoor air quality monitoring and maintenance protocols.; Incorporate public health and safety considerations into the project's emergency response plan.</t>
  </si>
  <si>
    <t>Indoor air quality monitoring and maintenance protocols; Public health and safety considerations documentation</t>
  </si>
  <si>
    <t>The project involves construction activities, indicating potential construction safety concerns.</t>
  </si>
  <si>
    <t>QA:Likely Yes(Project includes construction safety plan and training programs.) | QB:Insufficient Data(Lack of information on site-specific hazard assessments and mitigation strategie)</t>
  </si>
  <si>
    <t>Conduct site-specific hazard assessments and develop mitigation strategies.; Incorporate construction safety considerations into the project's overall safety plan.</t>
  </si>
  <si>
    <t>Construction safety plan and training programs documentation; Site-specific hazard assessments and mitigation strategies documentation</t>
  </si>
  <si>
    <t>The project includes residential and commercial spaces, indicating potential noise and vibration concerns.</t>
  </si>
  <si>
    <t>QA:Likely Yes(Project incorporates sound-absorbing materials and acoustic design strategies.) | QB:Insufficient Data(Lack of information on vibration mitigation measures and monitoring protocols.)</t>
  </si>
  <si>
    <t>Develop vibration mitigation measures and monitoring protocols.; Incorporate noise and vibration considerations into the project's overall design.</t>
  </si>
  <si>
    <t>Sound-absorbing materials and acoustic design strategies documentation; Vibration mitigation measures and monitoring protocols documentation</t>
  </si>
  <si>
    <t>The project includes exterior lighting, indicating potential light pollution concerns.</t>
  </si>
  <si>
    <t>QA:Likely Yes(Project incorporates energy-efficient and shielded lighting fixtures.) | QB:Insufficient Data(Lack of information on lighting controls and scheduling protocols.)</t>
  </si>
  <si>
    <t>Develop lighting controls and scheduling protocols.; Incorporate light pollution considerations into the project's overall design.</t>
  </si>
  <si>
    <t>Energy-efficient and shielded lighting fixtures documentation; Lighting controls and scheduling protocols documentation</t>
  </si>
  <si>
    <t>The project involves construction activities, indicating potential construction impacts.</t>
  </si>
  <si>
    <t>QA:Likely Yes(Project includes construction waste management plan and recycling programs.) | QB:Insufficient Data(Lack of information on site-specific construction impact assessments and mitigat)</t>
  </si>
  <si>
    <t>Conduct site-specific construction impact assessments and develop mitigation strategies.; Incorporate construction impact considerations into the project's overall plan.</t>
  </si>
  <si>
    <t>Construction waste management plan and recycling programs documentation; Site-specific construction impact assessments and mitigation strategies documentation</t>
  </si>
  <si>
    <t>The project includes residential and commercial spaces, indicating potential community mobility concerns.</t>
  </si>
  <si>
    <t>QA:Likely Yes(Project incorporates pedestrian-friendly and bikeable design strategies.) | QB:Insufficient Data(Lack of information on public transportation access and parking management strat)</t>
  </si>
  <si>
    <t>Develop public transportation access and parking management strategies.; Incorporate community mobility considerations into the project's overall design.</t>
  </si>
  <si>
    <t>Pedestrian-friendly and bikeable design strategies documentation; Public transportation access and parking management strategies documentation</t>
  </si>
  <si>
    <t>The project includes residential and commercial spaces, indicating potential sustainable transportation concerns.</t>
  </si>
  <si>
    <t>QA:Likely Yes(Project incorporates electric vehicle charging stations and car-sharing programs) | QB:Insufficient Data(Lack of information on alternative transportation modes and incentives for susta)</t>
  </si>
  <si>
    <t>Develop alternative transportation modes and incentives for sustainable transportation.; Incorporate sustainable transportation considerations into the project's overall design.</t>
  </si>
  <si>
    <t>Electric vehicle charging stations and car-sharing programs documentation; Alternative transportation modes and incentives for sustainable transportation documentation</t>
  </si>
  <si>
    <t>The project includes residential and commercial spaces, indicating potential access and wayfinding concerns.</t>
  </si>
  <si>
    <t>QA:Likely Yes(Project incorporates clear signage and wayfinding strategies.) | QB:Insufficient Data(Lack of information on accessible routes and navigation systems.)</t>
  </si>
  <si>
    <t>Develop accessible routes and navigation systems.; Incorporate access and wayfinding considerations into the project's overall design.</t>
  </si>
  <si>
    <t>Clear signage and wayfinding strategies documentation; Accessible routes and navigation systems documentation</t>
  </si>
  <si>
    <t>The project includes residential and commercial spaces, indicating potential equity and social justice concerns.</t>
  </si>
  <si>
    <t>QA:Likely Yes(Project incorporates community engagement and participation strategies.) | QB:Insufficient Data(Lack of information on affordable housing options and social services.)</t>
  </si>
  <si>
    <t>Develop affordable housing options and social services.; Incorporate equity and social justice considerations into the project's overall design.</t>
  </si>
  <si>
    <t>Community engagement and participation strategies documentation; Affordable housing options and social services documentation</t>
  </si>
  <si>
    <t>The project is located in a historic district, indicating potential historic and cultural resource concerns.</t>
  </si>
  <si>
    <t>QA:Likely Yes(Project incorporates historic preservation strategies and cultural sensitivity.) | QB:Insufficient Data(Lack of information on historic resource documentation and conservation plans.)</t>
  </si>
  <si>
    <t>Develop historic resource documentation and conservation plans.; Incorporate historic and cultural preservation considerations into the project's overall design.</t>
  </si>
  <si>
    <t>Historic preservation strategies and cultural sensitivity documentation; Historic resource documentation and conservation plans documentation</t>
  </si>
  <si>
    <t>The project includes residential and commercial spaces, indicating potential view and local character concerns.</t>
  </si>
  <si>
    <t>QA:Likely Yes(Project incorporates view preservation strategies and local character considerat) | QB:Insufficient Data(Lack of information on streetscape design and public art integration.)</t>
  </si>
  <si>
    <t>Develop streetscape design and public art integration strategies.; Incorporate view and local character considerations into the project's overall design.</t>
  </si>
  <si>
    <t>View preservation strategies and local character considerations documentation; Streetscape design and public art integration documentation</t>
  </si>
  <si>
    <t>Operational energy consumption reduction plan; Energy reduction goals or targets</t>
  </si>
  <si>
    <t>Construction energy consumption reduction plan; Energy reduction goals or targets</t>
  </si>
  <si>
    <t>QA:Insufficient Data(No information on energy system commissioning and monitoring) | QB:Insufficient Data(No documentation of energy system performance goals or targets)</t>
  </si>
  <si>
    <t>Operational water consumption reduction plan; Water reduction goals or targets</t>
  </si>
  <si>
    <t>Construction water consumption reduction plan; Water reduction goals or targets</t>
  </si>
  <si>
    <t>The project is located in Brownsville, PA, and the PDF metadata does not indicate any unsuitable development.</t>
  </si>
  <si>
    <t>The project is located in Brownsville, PA, and climate change vulnerability assessment is relevant to the project.</t>
  </si>
  <si>
    <t>The project is located in Brownsville, PA, and risk and resilience evaluation is relevant to the project.</t>
  </si>
  <si>
    <t>Enhanced</t>
  </si>
  <si>
    <t>The project is located in Brownsville, PA, and establishing resilience goals and strategies is relevant to the project.</t>
  </si>
  <si>
    <t>QA:Insufficient Data(No information on project performance goals) | QB:Insufficient Data(No information on risk management strategies) | QC:Insufficient Data(No information on stakeholder engagement in developing resilience goals) | QD:Insufficient Data(No information on community resilience or climate change adaptation goals)</t>
  </si>
  <si>
    <t>Establish project performance goals; Develop risk management strategies</t>
  </si>
  <si>
    <t>Project performance goals report; Risk management strategies report</t>
  </si>
  <si>
    <t>The project is located in Brownsville, PA, and maximizing resilience is relevant to the project.</t>
  </si>
  <si>
    <t>QA:Insufficient Data(No information on resilience goals and strategies) | QB:Insufficient Data(No information on implementation of resilience strategies) | QC:Insufficient Data(No information on monitoring and review of resilience strategies) | QD:Insufficient Data(No information on incorporation of resilience goals into operations and maintena) | QE:Insufficient Data(No information on methods for measuring or quantifying resilience performance ta)</t>
  </si>
  <si>
    <t>The project is located in Brownsville, PA, and improving infrastructure integration is relevant to the project.</t>
  </si>
  <si>
    <t>QA:Insufficient Data(No information on infrastructure system evaluation) | QB:Insufficient Data(No information on identification of opportunities for integration)</t>
  </si>
  <si>
    <t>Conduct infrastructure system evaluation; Identify opportunities for integration</t>
  </si>
  <si>
    <t>Infrastructure system evaluation report; Opportunities for integration report</t>
  </si>
  <si>
    <t>Develop and document sustainability goals and targets</t>
  </si>
  <si>
    <t>QA:Likely Yes(Multiple stakeholders involved in project team (Cartesian Inverse, PA; Etienne O) | QB:Insufficient Data(No information on collaboration and communication among team members)</t>
  </si>
  <si>
    <t>Establish clear communication channels among team members</t>
  </si>
  <si>
    <t>Team charter or agreement; Meeting minutes and collaboration records</t>
  </si>
  <si>
    <t>QA:Insufficient Data(No information on public engagement or participation) | QB:Insufficient Data(No information on community needs assessment)</t>
  </si>
  <si>
    <t>Conduct community needs assessment; Develop public engagement plan</t>
  </si>
  <si>
    <t>Community needs assessment report; Public engagement plan</t>
  </si>
  <si>
    <t>Identify potential byproduct synergies; Develop plan for waste reduction and material reuse</t>
  </si>
  <si>
    <t>Byproduct synergy assessment report; Waste reduction and material reuse plan</t>
  </si>
  <si>
    <t>QA:Insufficient Data(No information on sustainability management plan) | QB:Insufficient Data(No information on monitoring and reporting)</t>
  </si>
  <si>
    <t>Develop sustainability management plan; Establish monitoring and reporting protocols</t>
  </si>
  <si>
    <t>QA:Insufficient Data(No information on community planning) | QB:Insufficient Data(No information on social and economic benefits)</t>
  </si>
  <si>
    <t>Conduct community planning assessment; Develop plan for social and economic benefits</t>
  </si>
  <si>
    <t>Community planning report; Social and economic benefits plan</t>
  </si>
  <si>
    <t>Plan for Long-Term Maintenance and Operations</t>
  </si>
  <si>
    <t>QA:Insufficient Data(No information on maintenance and operations planning) | QB:Insufficient Data(No information on training and capacity building)</t>
  </si>
  <si>
    <t>Develop maintenance and operations plan; Establish training and capacity building programs</t>
  </si>
  <si>
    <t>Maintenance and operations plan; Training and capacity building records</t>
  </si>
  <si>
    <t>QA:Insufficient Data(No information on life-cycle economic evaluation) | QB:Insufficient Data(No information on cost-benefit analysis)</t>
  </si>
  <si>
    <t>Conduct life-cycle economic evaluation; Develop cost-benefit analysis</t>
  </si>
  <si>
    <t>Life-cycle economic evaluation report; Cost-benefit analysis records</t>
  </si>
  <si>
    <t>Evaluate Environmental and Social Impacts</t>
  </si>
  <si>
    <t>QA:Insufficient Data(No information on environmental impact assessment) | QB:Insufficient Data(No information on social impact assessment)</t>
  </si>
  <si>
    <t>Conduct environmental impact assessment; Develop social impact assessment</t>
  </si>
  <si>
    <t>Environmental impact assessment report; Social impact assessment records</t>
  </si>
  <si>
    <t>QA:Insufficient Data(No information on life-cycle assessment) | QB:Insufficient Data(No information on environmental impacts)</t>
  </si>
  <si>
    <t>Conduct life-cycle assessment; Develop plan to reduce environmental impacts</t>
  </si>
  <si>
    <t>Life-cycle assessment report; Environmental impact reduction plan</t>
  </si>
  <si>
    <t>The project is located in an area with potential natural habitats, and the credit's intent is to conserve these areas.</t>
  </si>
  <si>
    <t>QA:Insufficient Data(No information on natural habitat conservation) | QB:Insufficient Data(No information on native vegetation preservation)</t>
  </si>
  <si>
    <t>Conduct natural habitat assessment; Develop conservation plan</t>
  </si>
  <si>
    <t>Natural habitat assessment report; Conservation plan</t>
  </si>
  <si>
    <t>The project is located near a water body, and the credit's intent is to provide buffers for wetlands and surface water.</t>
  </si>
  <si>
    <t>QA:Insufficient Data(No information on wetland buffer zones) | QB:Insufficient Data(No information on surface water buffer zones)</t>
  </si>
  <si>
    <t>Conduct wetland and surface water assessment; Develop buffer zone plan</t>
  </si>
  <si>
    <t>Wetland and surface water assessment report; Buffer zone plan</t>
  </si>
  <si>
    <t>The project will impact stormwater runoff, and the credit's intent is to manage it.</t>
  </si>
  <si>
    <t>QA:Insufficient Data(No information on stormwater management plan) | QB:Insufficient Data(No information on rate or quantity of runoff)</t>
  </si>
  <si>
    <t>Develop stormwater management plan; Conduct runoff analysis</t>
  </si>
  <si>
    <t>Stormwater management plan; Runoff analysis report</t>
  </si>
  <si>
    <t>The project will impact surface and groundwater quality, and the credit's intent is to protect it.</t>
  </si>
  <si>
    <t>QA:Insufficient Data(No information on surface water protection plan) | QB:Insufficient Data(No information on groundwater protection plan)</t>
  </si>
  <si>
    <t>Develop surface water protection plan; Conduct groundwater assessment</t>
  </si>
  <si>
    <t>Surface water protection plan; Groundwater assessment report</t>
  </si>
  <si>
    <t>The project is located in a floodplain, and the credit's intent is to maintain its functions.</t>
  </si>
  <si>
    <t>QA:Insufficient Data(No information on floodplain assessment) | QB:Insufficient Data(No information on vegetated zone preservation)</t>
  </si>
  <si>
    <t>Conduct floodplain assessment; Develop vegetated zone preservation plan</t>
  </si>
  <si>
    <t>Floodplain assessment report; Vegetated zone preservation plan</t>
  </si>
  <si>
    <t>The project will impact soil health, and the credit's intent is to protect it.</t>
  </si>
  <si>
    <t>QA:Insufficient Data(No information on soil health assessment) | QB:Insufficient Data(No information on soil conservation plan)</t>
  </si>
  <si>
    <t>Conduct soil health assessment; Develop soil conservation plan</t>
  </si>
  <si>
    <t>Soil health assessment report; Soil conservation plan</t>
  </si>
  <si>
    <t>Conduct community outreach and engagement to inform design decisions.; Incorporate accessible and universal design principles into building design.</t>
  </si>
  <si>
    <t>Develop indoor air quality monitoring and maintenance protocols.; Incorporate public health and safety considerations into design decisions.</t>
  </si>
  <si>
    <t>Indoor air quality monitoring and maintenance protocols; Public health and safety consideration documentation</t>
  </si>
  <si>
    <t>Conduct site-specific hazard assessments and develop mitigation strategies.; Incorporate construction safety considerations into design decisions.</t>
  </si>
  <si>
    <t>Construction safety plan and training programs; Site-specific hazard assessments and mitigation strategies</t>
  </si>
  <si>
    <t>Develop vibration mitigation measures and monitoring protocols.; Incorporate noise and vibration considerations into design decisions.</t>
  </si>
  <si>
    <t>Sound-absorbing materials and acoustic design strategies; Vibration mitigation measures and monitoring protocols</t>
  </si>
  <si>
    <t>Develop lighting controls and scheduling protocols.; Incorporate light pollution considerations into design decisions.</t>
  </si>
  <si>
    <t>Energy-efficient and shielded lighting fixtures; Lighting controls and scheduling protocols</t>
  </si>
  <si>
    <t>QA:Likely Yes(Project includes construction waste management plan and recycling programs.) | QB:Insufficient Data(Lack of information on site-specific erosion control measures and sedimentation )</t>
  </si>
  <si>
    <t>Develop site-specific erosion control measures and sedimentation mitigation strategies.; Incorporate construction impact considerations into design decisions.</t>
  </si>
  <si>
    <t>Construction waste management plan and recycling programs; Site-specific erosion control measures and sedimentation mitigation strategies</t>
  </si>
  <si>
    <t>QA:Likely Yes(Project incorporates pedestrian-friendly design strategies and accessible transp) | QB:Insufficient Data(Lack of information on public transportation access and bikeability features.)</t>
  </si>
  <si>
    <t>Develop public transportation access and bikeability features.; Incorporate community mobility considerations into design decisions.</t>
  </si>
  <si>
    <t>Pedestrian-friendly design strategies and accessible transportation options; Public transportation access and bikeability features</t>
  </si>
  <si>
    <t>The project includes parking and transportation infrastructure, indicating potential sustainable transportation concerns.</t>
  </si>
  <si>
    <t>Develop alternative transportation modes and incentives for sustainable transportation.; Incorporate sustainable transportation considerations into design decisions.</t>
  </si>
  <si>
    <t>Electric vehicle charging stations and car-sharing programs; Alternative transportation modes and incentives for sustainable transportation</t>
  </si>
  <si>
    <t>The project includes public spaces and navigation systems, indicating potential access and wayfinding concerns.</t>
  </si>
  <si>
    <t>QA:Likely Yes(Project incorporates clear signage and accessible navigation systems.) | QB:Insufficient Data(Lack of information on audio descriptions and tactile signage for visually impai)</t>
  </si>
  <si>
    <t>Develop audio descriptions and tactile signage for visually impaired users.; Incorporate access and wayfinding considerations into design decisions.</t>
  </si>
  <si>
    <t>Clear signage and accessible navigation systems; Audio descriptions and tactile signage for visually impaired users</t>
  </si>
  <si>
    <t>The project includes community spaces and social programs, indicating potential equity and social justice concerns.</t>
  </si>
  <si>
    <t>Develop affordable housing options and social services.; Incorporate equity and social justice considerations into design decisions.</t>
  </si>
  <si>
    <t>Community engagement and participation strategies; Affordable housing options and social services</t>
  </si>
  <si>
    <t>The project includes historic and cultural resources, indicating potential preservation concerns.</t>
  </si>
  <si>
    <t>QA:Likely Yes(Project incorporates historic preservation strategies and cultural resource mana) | QB:Insufficient Data(Lack of information on community outreach and education programs.)</t>
  </si>
  <si>
    <t>Develop community outreach and education programs.; Incorporate historic and cultural preservation considerations into design decisions.</t>
  </si>
  <si>
    <t>Historic preservation strategies and cultural resource management plans; Community outreach and education programs</t>
  </si>
  <si>
    <t>The project includes public spaces and views, indicating potential view and local character concerns.</t>
  </si>
  <si>
    <t>QA:Likely Yes(Project incorporates view preservation strategies and local character design ele) | QB:Insufficient Data(Lack of information on community engagement and feedback mechanisms.)</t>
  </si>
  <si>
    <t>Develop community engagement and feedback mechanisms.; Incorporate view and local character considerations into design decisions.</t>
  </si>
  <si>
    <t>View preservation strategies and local character design elements; Community engagement and feedback mechanisms</t>
  </si>
  <si>
    <t>QA:Insufficient Data(No climate change vulnerability assessment available) | QB:Insufficient Data(No information on project vulnerabilities)</t>
  </si>
  <si>
    <t>Conduct climate change vulnerability assessment; Identify project vulnerabilities</t>
  </si>
  <si>
    <t>Climate change vulnerability assessment report; Project vulnerability analysis</t>
  </si>
  <si>
    <t>QA:Insufficient Data(No risk evaluation available) | QB:Insufficient Data(No information on critical functions and dependencies)</t>
  </si>
  <si>
    <t>Conduct risk evaluation; Identify critical functions and dependencies</t>
  </si>
  <si>
    <t>Risk evaluation report; Critical functions and dependencies analysis</t>
  </si>
  <si>
    <t>QA:Insufficient Data(No resilience goals available) | QB:Insufficient Data(No information on risk management strategies)</t>
  </si>
  <si>
    <t>Establish resilience goals; Develop risk management strategies</t>
  </si>
  <si>
    <t>Resilience goals document; Risk management strategies report</t>
  </si>
  <si>
    <t>QA:Insufficient Data(No information on resilience implementation) | QB:Insufficient Data(No information on monitoring and review of resilience strategies)</t>
  </si>
  <si>
    <t>Implement resilience strategies; Monitor and review resilience strategies</t>
  </si>
  <si>
    <t>Resilience implementation plan; Monitoring and review report</t>
  </si>
  <si>
    <t>Investigate byproduct synergies opportunities</t>
  </si>
  <si>
    <t>Byproduct synergy plan; Waste reduction records</t>
  </si>
  <si>
    <t>QA:Insufficient Data(No information on community planning or engagement) | QB:Insufficient Data(No information on social and economic benefits)</t>
  </si>
  <si>
    <t>Develop community planning and engagement plan</t>
  </si>
  <si>
    <t>Community planning report; Social and economic benefit analysis</t>
  </si>
  <si>
    <t>Encourage Sustainable Economic Development</t>
  </si>
  <si>
    <t>QA:Insufficient Data(No information on sustainable economic development) | QB:Insufficient Data(No information on local employment or procurement opportunities)</t>
  </si>
  <si>
    <t>Develop sustainable economic development plan</t>
  </si>
  <si>
    <t>Sustainable economic development report; Local employment and procurement records</t>
  </si>
  <si>
    <t>Support Local Businesses and Communities</t>
  </si>
  <si>
    <t>QA:Insufficient Data(No information on local business support) | QB:Insufficient Data(No information on community engagement or outreach)</t>
  </si>
  <si>
    <t>Develop local business support plan</t>
  </si>
  <si>
    <t>Local business support report; Community engagement records</t>
  </si>
  <si>
    <t>QA:Insufficient Data(No information on life-cycle assessment) | QB:Insufficient Data(No information on environmental impacts or material selection)</t>
  </si>
  <si>
    <t>Life-cycle assessment report; Environmental impact records</t>
  </si>
  <si>
    <t>The project is located in a specific area (Brownsville, PA) and has a defined site boundary, indicating potential natural areas to conserve.</t>
  </si>
  <si>
    <t>QA:Insufficient Data(No information on natural areas within the project site) | QB:Insufficient Data(No data on habitat restoration or enhancement)</t>
  </si>
  <si>
    <t>Conduct site assessment to identify natural areas; Research local conservation goals and regulations</t>
  </si>
  <si>
    <t>Site assessment report; Conservation plan</t>
  </si>
  <si>
    <t>The project's location near a water body (implied by the presence of a stormwater management plan) suggests potential wetlands or surface waters that may require buffers.</t>
  </si>
  <si>
    <t>QA:Insufficient Data(No information on wetland or surface water buffers) | QB:Insufficient Data(No data on buffer zone maintenance)</t>
  </si>
  <si>
    <t>Conduct wetland delineation; Research local buffer zone requirements</t>
  </si>
  <si>
    <t>Wetland delineation report; Buffer zone maintenance plan</t>
  </si>
  <si>
    <t>The project's stormwater management plan indicates an impact on stormwater runoff, making this credit applicable.</t>
  </si>
  <si>
    <t>QA:Likely Yes(Stormwater management plan mentioned in the PDF metadata) | QB:Insufficient Data(No data on rate or quantity of runoff)</t>
  </si>
  <si>
    <t>Develop stormwater management plan; Research local stormwater regulations</t>
  </si>
  <si>
    <t>Stormwater management plan; Runoff calculation report</t>
  </si>
  <si>
    <t>The project's potential impact on surface and groundwater quality, as implied by the stormwater management plan, makes this credit applicable.</t>
  </si>
  <si>
    <t>QA:Insufficient Data(No information on surface or groundwater protection measures) | QB:Insufficient Data(No data on water quality monitoring)</t>
  </si>
  <si>
    <t>Research local water quality regulations; Develop surface and groundwater protection plan</t>
  </si>
  <si>
    <t>Surface and groundwater protection plan; Water quality monitoring report</t>
  </si>
  <si>
    <t>The project's location in a floodplain (implied by the presence of a stormwater management plan) suggests potential impacts on floodplain functions.</t>
  </si>
  <si>
    <t>QA:Insufficient Data(No information on floodplain functions) | QB:Insufficient Data(No data on vegetated zones within the floodplain)</t>
  </si>
  <si>
    <t>Conduct floodplain analysis; Research local floodplain regulations</t>
  </si>
  <si>
    <t>Floodplain analysis report; Vegetated zone maintenance plan</t>
  </si>
  <si>
    <t>The project's potential impact on soil health, as implied by the presence of a site plan, makes this credit applicable.</t>
  </si>
  <si>
    <t>QA:Insufficient Data(No information on soil health protection measures) | QB:Insufficient Data(No data on soil erosion control)</t>
  </si>
  <si>
    <t>Research local soil health regulations; Develop soil health protection plan</t>
  </si>
  <si>
    <t>Soil health protection plan; Soil erosion control report</t>
  </si>
  <si>
    <t>The project includes residential units and commercial spaces, indicating potential public health and safety concerns.</t>
  </si>
  <si>
    <t>QA:Likely Yes(Project includes safety protocols for construction workers.) | QB:Insufficient Data(Lack of information on construction safety training programs.)</t>
  </si>
  <si>
    <t>Develop construction safety training program.</t>
  </si>
  <si>
    <t>Construction safety protocols; Safety training program documents</t>
  </si>
  <si>
    <t>The project includes residential units and commercial spaces, indicating potential noise and vibration concerns.</t>
  </si>
  <si>
    <t>QA:Likely Yes(Project includes soundproofing measures.) | QB:Insufficient Data(Lack of information on vibration mitigation measures.)</t>
  </si>
  <si>
    <t>Investigate vibration mitigation measures.</t>
  </si>
  <si>
    <t>Soundproofing documents; Vibration mitigation reports</t>
  </si>
  <si>
    <t>Develop lighting design and control strategy.</t>
  </si>
  <si>
    <t>QA:Likely Yes(Project includes waste management plan.) | QB:Insufficient Data(Lack of information on construction scheduling and phasing.)</t>
  </si>
  <si>
    <t>Develop construction scheduling and phasing plan.</t>
  </si>
  <si>
    <t>Waste management plan; Construction scheduling documents</t>
  </si>
  <si>
    <t>The project includes residential units and commercial spaces, indicating potential community mobility concerns.</t>
  </si>
  <si>
    <t>QA:Likely Yes(Project includes pedestrian-friendly design.) | QB:Insufficient Data(Lack of information on public transportation options.)</t>
  </si>
  <si>
    <t>Investigate public transportation options.</t>
  </si>
  <si>
    <t>Pedestrian-friendly design documents; Public transportation reports</t>
  </si>
  <si>
    <t>The project includes residential units and commercial spaces, indicating potential sustainable transportation concerns.</t>
  </si>
  <si>
    <t>QA:Likely Yes(Project includes bike-friendly design.) | QB:Insufficient Data(Lack of information on alternative transportation options.)</t>
  </si>
  <si>
    <t>Investigate alternative transportation options.</t>
  </si>
  <si>
    <t>Bike-friendly design documents; Alternative transportation reports</t>
  </si>
  <si>
    <t>The project includes residential units and commercial spaces, indicating potential access and wayfinding concerns.</t>
  </si>
  <si>
    <t>QA:Likely Yes(Project includes clear signage.) | QB:Insufficient Data(Lack of information on accessibility features.)</t>
  </si>
  <si>
    <t>Investigate accessibility features.</t>
  </si>
  <si>
    <t>Signage documents; Accessibility reports</t>
  </si>
  <si>
    <t>The project includes residential units and commercial spaces, indicating potential equity and social justice concerns.</t>
  </si>
  <si>
    <t>QA:Likely Yes(Project includes community engagement plan.) | QB:Insufficient Data(Lack of information on social justice initiatives.)</t>
  </si>
  <si>
    <t>Investigate social justice initiatives.</t>
  </si>
  <si>
    <t>Community engagement plan; Social justice reports</t>
  </si>
  <si>
    <t>The project includes residential units and commercial spaces, indicating potential views and local character concerns.</t>
  </si>
  <si>
    <t>QA:Likely Yes(Project includes design that respects local character.) | QB:Insufficient Data(Lack of information on view preservation measures.)</t>
  </si>
  <si>
    <t>Investigate view preservation measures.</t>
  </si>
  <si>
    <t>Design documents; View preservation reports</t>
  </si>
  <si>
    <t>QA:Insufficient Data(No material takeoff or bill of quantities in the provided PDF) | QB:Insufficient Data(No information on material efficiency strategies)</t>
  </si>
  <si>
    <t>Develop a material takeoff and bill of quantities; Research material efficiency strategies</t>
  </si>
  <si>
    <t>Material takeoff and bill of quantities; Material efficiency strategy report</t>
  </si>
  <si>
    <t>QA:Insufficient Data(No information on recycled material use) | QB:Insufficient Data(No documentation of recycled material sourcing)</t>
  </si>
  <si>
    <t>Research recycled material options; Develop a plan for sourcing recycled materials</t>
  </si>
  <si>
    <t>Recycled material specification; Sourcing plan for recycled materials</t>
  </si>
  <si>
    <t>QA:Insufficient Data(No information on operational waste reduction strategies) | QB:Insufficient Data(No documentation of waste management plan)</t>
  </si>
  <si>
    <t>Develop an operational waste reduction strategy; Create a waste management plan</t>
  </si>
  <si>
    <t>Operational waste reduction strategy report; Waste management plan</t>
  </si>
  <si>
    <t>QA:Insufficient Data(No information on construction waste reduction strategies) | QB:Insufficient Data(No documentation of construction waste management plan)</t>
  </si>
  <si>
    <t>Develop a construction waste reduction strategy; Create a construction waste management plan</t>
  </si>
  <si>
    <t>Construction waste reduction strategy report; Construction waste management plan</t>
  </si>
  <si>
    <t>QA:Insufficient Data(No information on earthwork balancing strategies) | QB:Insufficient Data(No documentation of earthwork balancing plan)</t>
  </si>
  <si>
    <t>Develop an earthwork balancing strategy; Create an earthwork balancing plan</t>
  </si>
  <si>
    <t>Earthwork balancing strategy report; Earthwork balancing plan</t>
  </si>
  <si>
    <t>QA:Insufficient Data(No information on operational energy reduction strategies) | QB:Insufficient Data(No documentation of energy-efficient design)</t>
  </si>
  <si>
    <t>Develop an operational energy reduction strategy; Create an energy-efficient design plan</t>
  </si>
  <si>
    <t>Operational energy reduction strategy report; Energy-efficient design plan</t>
  </si>
  <si>
    <t>QA:Insufficient Data(No information on construction energy reduction strategies) | QB:Insufficient Data(No documentation of construction energy management plan)</t>
  </si>
  <si>
    <t>Develop a construction energy reduction strategy; Create a construction energy management plan</t>
  </si>
  <si>
    <t>Construction energy reduction strategy report; Construction energy management plan</t>
  </si>
  <si>
    <t>QA:Insufficient Data(No information on renewable energy sources) | QB:Insufficient Data(No documentation of renewable energy system design)</t>
  </si>
  <si>
    <t>Research renewable energy options; Develop a plan for integrating renewable energy systems</t>
  </si>
  <si>
    <t>Renewable energy feasibility study; Renewable energy system design plan</t>
  </si>
  <si>
    <t>QA:Insufficient Data(No information on energy system commissioning) | QB:Insufficient Data(No documentation of energy system monitoring plan)</t>
  </si>
  <si>
    <t>Develop an energy system commissioning plan; Create an energy system monitoring plan</t>
  </si>
  <si>
    <t>Energy system commissioning plan; Energy system monitoring plan</t>
  </si>
  <si>
    <t>QA:Insufficient Data(No information on water conservation strategies) | QB:Insufficient Data(No documentation of water-efficient design)</t>
  </si>
  <si>
    <t>Develop a water conservation strategy; Create a water-efficient design plan</t>
  </si>
  <si>
    <t>Water conservation strategy report; Water-efficient design plan</t>
  </si>
  <si>
    <t>QA:Insufficient Data(No information on operational water reduction strategies) | QB:Insufficient Data(No documentation of water-efficient fixtures and appliances)</t>
  </si>
  <si>
    <t>Develop an operational water reduction strategy; Specify water-efficient fixtures and appliances</t>
  </si>
  <si>
    <t>Operational water reduction strategy report; Water-efficient fixture and appliance specification</t>
  </si>
  <si>
    <t>QA:Insufficient Data(No information on construction water reduction strategies) | QB:Insufficient Data(No documentation of construction water management plan)</t>
  </si>
  <si>
    <t>Develop a construction water reduction strategy; Create a construction water management plan</t>
  </si>
  <si>
    <t>Construction water reduction strategy report; Construction water management plan</t>
  </si>
  <si>
    <t>QA:Insufficient Data(No information on water system monitoring) | QB:Insufficient Data(No documentation of water system monitoring plan)</t>
  </si>
  <si>
    <t>Develop a water system monitoring plan; Specify water metering and monitoring equipment</t>
  </si>
  <si>
    <t>Water system monitoring plan; Water metering and monitoring equipment specification</t>
  </si>
  <si>
    <t>The project is located in Brownsville, PA, and the PDF metadata does not indicate that it avoids unsuitable development.</t>
  </si>
  <si>
    <t>QA:Insufficient Data(No information on site selection criteria) | QB:Insufficient Data(No information on environmental impact assessment)</t>
  </si>
  <si>
    <t>Conduct site selection criteria analysis; Perform environmental impact assessment</t>
  </si>
  <si>
    <t>QA:Insufficient Data(No information on climate change threats) | QB:Insufficient Data(No information on project vulnerability) | QC:Insufficient Data(No information on infrastructure system vulnerability) | QD:Insufficient Data(No information on community vulnerability) | QE:Insufficient Data(No information on shared climate threat findings)</t>
  </si>
  <si>
    <t>QA:Insufficient Data(No information on risk assessment scope) | QB:Insufficient Data(No information on critical functions and dependencies) | QC:Insufficient Data(No information on threats or hazards) | QD:Insufficient Data(No information on vulnerabilities of critical functions and dependencies) | QE:Insufficient Data(No information on risk evaluation methodology) | QF:Insufficient Data(No information on stakeholder participation in risk evaluation)</t>
  </si>
  <si>
    <t>Risk assessment report; Critical functions and dependencies report; Risk evaluation methodology report</t>
  </si>
  <si>
    <t>QA:Insufficient Data(No information on project performance goals) | QB:Insufficient Data(No information on risk management strategies) | QC:Insufficient Data(No information on stakeholder engagement in resilience goal development) | QD:Insufficient Data(No information on community resilience goals)</t>
  </si>
  <si>
    <t>Develop project performance goals; Establish risk management strategies; Engage stakeholders in resilience goal development</t>
  </si>
  <si>
    <t>Project performance goals report; Risk management strategies report; Stakeholder engagement report</t>
  </si>
  <si>
    <t>QA:Insufficient Data(No information on resilience goals and strategies) | QB:Insufficient Data(No information on implementation of resilience strategies) | QC:Insufficient Data(No information on monitoring and review of resilience strategies) | QD:Insufficient Data(No information on incorporation of resilience goals into operations and maintena) | QE:Insufficient Data(No information on methods for measuring resilience performance)</t>
  </si>
  <si>
    <t>Develop resilience goals and strategies; Implement resilience strategies; Monitor and review resilience strategies</t>
  </si>
  <si>
    <t>Resilience goals and strategies report; Implementation plan for resilience strategies; Monitoring and review plan for resilience strategies</t>
  </si>
  <si>
    <t>QA:Insufficient Data(No information on infrastructure system connections) | QB:Insufficient Data(No information on benefits of improved integration)</t>
  </si>
  <si>
    <t>Analyze infrastructure system connections; Evaluate benefits of improved integration</t>
  </si>
  <si>
    <t>Infrastructure system connections report; Benefits of improved integration report</t>
  </si>
  <si>
    <t>QA:Insufficient Data(No information on sustainability management plan) | QB:Insufficient Data(No information on monitoring or reporting processes)</t>
  </si>
  <si>
    <t>QA:Insufficient Data(No information on community planning or engagement) | QB:Insufficient Data(No information on social or economic benefits)</t>
  </si>
  <si>
    <t>Community planning documents; Social and economic benefit records</t>
  </si>
  <si>
    <t>Construction management plan; Waste reduction records</t>
  </si>
  <si>
    <t>Implement a Quality Control Process</t>
  </si>
  <si>
    <t>QA:Insufficient Data(No information on quality control process) | QB:Insufficient Data(No information on testing or inspection procedures)</t>
  </si>
  <si>
    <t>Develop quality control process</t>
  </si>
  <si>
    <t>Quality control plan; Testing and inspection records</t>
  </si>
  <si>
    <t>QA:Insufficient Data(No information on life-cycle assessment) | QB:Insufficient Data(No information on environmental or social impacts)</t>
  </si>
  <si>
    <t>Life-cycle assessment report; Environmental and social impact records</t>
  </si>
  <si>
    <t>QA:Insufficient Data(No information on surface or groundwater quality protection) | QB:Insufficient Data(No information on pollution control measures)</t>
  </si>
  <si>
    <t>Conduct water quality analysis; Develop pollution control plan</t>
  </si>
  <si>
    <t>Water quality analysis report; Pollution control plan</t>
  </si>
  <si>
    <t>The project is located in a floodplain, as indicated by the site plan.</t>
  </si>
  <si>
    <t>QA:Likely Yes(Project includes measures to reduce waste and pollution.) | QB:Insufficient Data(Lack of information on construction sequencing and scheduling.)</t>
  </si>
  <si>
    <t>QA:Likely Yes(Project includes pedestrian-friendly design elements.) | QB:Insufficient Data(Lack of information on public transportation access and bikeability.)</t>
  </si>
  <si>
    <t>The project includes parking and transportation infrastructure that can impact sustainable transportation options.</t>
  </si>
  <si>
    <t>QA:Likely Yes(Project includes electric vehicle charging stations.) | QB:Insufficient Data(Lack of information on carpooling and ride-sharing incentives.)</t>
  </si>
  <si>
    <t>Develop carpooling and ride-sharing incentive programs.</t>
  </si>
  <si>
    <t>Carpooling and ride-sharing policy documents; Incentive program reports</t>
  </si>
  <si>
    <t>QA:Likely Yes(Project includes clear signage and navigation elements.) | QB:Insufficient Data(Lack of information on accessibility features for people with disabilities.)</t>
  </si>
  <si>
    <t>Investigate accessibility features for people with disabilities.</t>
  </si>
  <si>
    <t>Accessibility feature design documents; Navigation element reports</t>
  </si>
  <si>
    <t>The project includes community spaces that can impact social justice and equity.</t>
  </si>
  <si>
    <t>QA:Likely Yes(Project includes community engagement and outreach programs.) | QB:Insufficient Data(Lack of information on diversity and inclusion strategies.)</t>
  </si>
  <si>
    <t>Develop diversity and inclusion strategies.</t>
  </si>
  <si>
    <t>Diversity and inclusion policy documents; Community engagement reports</t>
  </si>
  <si>
    <t>QA:Likely Yes(Project includes design elements that enhance local character.) | QB:Insufficient Data(Lack of information on view preservation strategies.)</t>
  </si>
  <si>
    <t>Investigate view preservation strategies.</t>
  </si>
  <si>
    <t>View preservation strategy reports; Local character design documents</t>
  </si>
  <si>
    <t>Develop a plan for commissioning and monitoring energy systems; Research energy system performance metrics and benchmarks</t>
  </si>
  <si>
    <t>Develop a plan for monitoring water systems; Research water system performance metrics and benchmarks</t>
  </si>
  <si>
    <t>zero_shot</t>
  </si>
  <si>
    <t>CR1.1</t>
  </si>
  <si>
    <t>Reduce Net Embodied Carbon</t>
  </si>
  <si>
    <t>QA:Insufficient Data(No embodied carbon assessment in PDF metadata) | QB:Insufficient Data(No calculation of primary contributors to overall embodied carbon in PDF metadat) | QC:Insufficient Data(No information on reduction of net embodied carbon in PDF metadata)</t>
  </si>
  <si>
    <t>A + B + C required for Improved</t>
  </si>
  <si>
    <t>Conduct embodied carbon assessment; Calculate primary contributors to overall embodied carbon</t>
  </si>
  <si>
    <t>Embodied carbon assessment report; Calculation of primary contributors to overall embodied carbon</t>
  </si>
  <si>
    <t>CR1.2</t>
  </si>
  <si>
    <t>Reduce Greenhouse Gas Emissions</t>
  </si>
  <si>
    <t>QA:Insufficient Data(No information on reduction of greenhouse gas emissions in PDF metadata) | QB:Insufficient Data(No calculation and reporting of annual greenhouse gas emissions in PDF metadata)</t>
  </si>
  <si>
    <t>Conduct greenhouse gas emissions assessment; Calculate and report annual greenhouse gas emissions</t>
  </si>
  <si>
    <t>Greenhouse gas emissions assessment report; Calculation and reporting of annual greenhouse gas emissions</t>
  </si>
  <si>
    <t>CR1.3</t>
  </si>
  <si>
    <t>Reduce Air Pollutant Emissions</t>
  </si>
  <si>
    <t>QA:Insufficient Data(No information on meeting minimum air quality standards in PDF metadata) | QB:Insufficient Data(No information on reduction of air pollutant emissions in PDF metadata) | QC:Insufficient Data(No information on ongoing monitoring and management of direct air pollutant emis) | QD:Insufficient Data(No assessment of materiality of volatile organic compounds in PDF metadata) | QE:Insufficient Data(No information on removal of existing air pollutant sources in PDF metadata)</t>
  </si>
  <si>
    <t>Conduct air pollutant emissions assessment; Implement strategies to reduce air pollutant emissions</t>
  </si>
  <si>
    <t>Air pollutant emissions assessment report; Implementation plan for reducing air pollutant emissions</t>
  </si>
  <si>
    <t>QA:Insufficient Data(No information on identification of potential siting hazards in PDF metadata) | QB:Insufficient Data(No information on consideration of siting and project alternatives in PDF metada) | QC:Insufficient Data(No information on implementation of strategies to mitigate site hazards in PDF m) | QD:Insufficient Data(No information on chosen project and site resulting in lowest exposure to site h) | QE:Insufficient Data(No information on intentional avoidance of known site hazards in PDF metadata) | QF:Insufficient Data(No information on removal or modification of structures subject to frequent dama)</t>
  </si>
  <si>
    <t>Conduct siting hazard assessment; Consider siting and project alternatives</t>
  </si>
  <si>
    <t>Siting hazard assessment report; Consideration of siting and project alternatives</t>
  </si>
  <si>
    <t>QA:Insufficient Data(No information on determination of climate change threats in PDF metadata) | QB:Insufficient Data(No information on determination of vulnerability to climate change threats in PD) | QC:Insufficient Data(No information on determination of infrastructure system vulnerability to climat) | QD:Insufficient Data(No information on determination of community vulnerability to climate change thr) | QE:Insufficient Data(No information on sharing of climate threat findings in PDF metadata)</t>
  </si>
  <si>
    <t>Conduct climate change vulnerability assessment; Determine vulnerability to climate change threats</t>
  </si>
  <si>
    <t>Climate change vulnerability assessment report; Vulnerability determination</t>
  </si>
  <si>
    <t>QA:Insufficient Data(No information on risk assessment in PDF metadata) | QB:Insufficient Data(No information on identification of critical functions and dependencies in PDF m) | QC:Insufficient Data(No information on identification of threats or hazards in PDF metadata) | QD:Insufficient Data(No information on identification of vulnerabilities in PDF metadata) | QE:Insufficient Data(No information on evaluation of risks in PDF metadata) | QF:Insufficient Data(No information on participation of owner and stakeholders in risk evaluation in )</t>
  </si>
  <si>
    <t>Risk assessment report; Identification of critical functions and dependencies</t>
  </si>
  <si>
    <t>QA:Insufficient Data(No information on identification of project performance goals in PDF metadata) | QB:Insufficient Data(No information on development of risk management strategies in PDF metadata) | QC:Insufficient Data(No information on engagement of key stakeholders in PDF metadata) | QD:Insufficient Data(No information on support for larger community resilience or climate change adap)</t>
  </si>
  <si>
    <t>Identify project performance goals; Develop risk management strategies</t>
  </si>
  <si>
    <t>Project performance goals report; Risk management strategies</t>
  </si>
  <si>
    <t>QA:Insufficient Data(No information on development of resilience goals and strategies in PDF metadata) | QB:Insufficient Data(No information on implementation of resilience strategies in PDF metadata) | QC:Insufficient Data(No information on monitoring and review of resilience strategies in PDF metadata) | QD:Insufficient Data(No information on incorporation of resilience goals and strategies into operatio) | QE:Insufficient Data(No information on measurement or quantification of resilience performance target)</t>
  </si>
  <si>
    <t>Resilience goals and strategies report; Implementation plan for resilience strategies</t>
  </si>
  <si>
    <t>QA:Insufficient Data(No information on increase of internal systems integration in PDF metadata) | QB:Insufficient Data(No information on reduction of risk of systemic or cascading failures in PDF met) | QC:Insufficient Data(No information on increase of external systems integration in PDF metadata) | QD:Insufficient Data(No information on integration of infrastructure networks in PDF metadata) | QE:Insufficient Data(No information on integration of data or monitoring systems in PDF metadata)</t>
  </si>
  <si>
    <t>Increase internal systems integration; Reduce risk of systemic or cascading failures</t>
  </si>
  <si>
    <t>Internal systems integration report; Risk reduction plan</t>
  </si>
  <si>
    <t>QA:Insufficient Data(No community needs assessment in model) | QB:Insufficient Data(No sustainability management plan in model) | QC:Insufficient Data(No periodic revisit of project sustainability commitments in model) | QD:Insufficient Data(No organizational commitments to sustainability from key team members in model)</t>
  </si>
  <si>
    <t>Begin community engagement to address A, B, D</t>
  </si>
  <si>
    <t>Community needs assessment report; Sustainability management plan</t>
  </si>
  <si>
    <t>QA:Insufficient Data(No interdisciplinary collaborative kickoff meeting in model) | QB:Insufficient Data(No sustainability performance enhancements from collaboration in model) | QC:Insufficient Data(No regular interdisciplinary and collaborative meetings in model) | QD:Insufficient Data(No inclusion of construction, operations, or maintenance stakeholders in model)</t>
  </si>
  <si>
    <t>Establish interdisciplinary collaborative meetings</t>
  </si>
  <si>
    <t>Meeting minutes; Collaboration plan</t>
  </si>
  <si>
    <t>Provide for Stakeholder Involvement</t>
  </si>
  <si>
    <t>QA:Insufficient Data(No stakeholder mapping exercise in model) | QB:Insufficient Data(No proactive stakeholder engagement process in model) | QC:Insufficient Data(No lead member of project team involved with stakeholders in model) | QD:Insufficient Data(No stakeholder engagement feedback incorporated into project plans in model) | QE:Insufficient Data(No stakeholder satisfaction assessment in model) | QF:No(Project team has not engaged stakeholders as partners)</t>
  </si>
  <si>
    <t>A, B required for Enhanced</t>
  </si>
  <si>
    <t>Conduct stakeholder mapping exercise</t>
  </si>
  <si>
    <t>Stakeholder engagement plan; Stakeholder feedback report</t>
  </si>
  <si>
    <t>QA:Insufficient Data(No assessment of excess resources or capacity in model) | QB:Insufficient Data(No identification of byproduct synergy opportunities in model) | QC:Insufficient Data(No pursuit of byproduct synergies in model) | QD:Insufficient Data(No inclusion of byproduct synergy in project in model) | QE:Insufficient Data(No circular economy approach in model)</t>
  </si>
  <si>
    <t>Assess excess resources and capacity</t>
  </si>
  <si>
    <t>Byproduct synergy assessment report; Circular economy plan</t>
  </si>
  <si>
    <t>QA:Insufficient Data(No roles and responsibilities assigned for sustainability in model) | QB:Insufficient Data(No sustainability management plan developed in model) | QC:Insufficient Data(No processes and management controls for sustainability goals in model) | QD:Insufficient Data(No implementation of sustainability management plan in model) | QE:Insufficient Data(No adaptability and flexibility in sustainability management plan in model)</t>
  </si>
  <si>
    <t>Sustainability management plan document; Implementation report</t>
  </si>
  <si>
    <t>QA:Insufficient Data(No consideration of sustainability during project selection in model) | QB:Insufficient Data(No alternative analyses conducted on sustainability performance in model) | QC:Insufficient Data(No assessment of project impacts on broader community or regional sustainability) | QD:Insufficient Data(No comprehensive sustainable development plan in model) | QE:Insufficient Data(No address of inherently unsustainable conditions in community or region in mode)</t>
  </si>
  <si>
    <t>Conduct alternative analyses on sustainability performance</t>
  </si>
  <si>
    <t>Sustainability assessment report; Comprehensive sustainable development plan</t>
  </si>
  <si>
    <t>Plan for Long-Term Monitoring and Maintenance</t>
  </si>
  <si>
    <t>QA:Insufficient Data(No consideration of ongoing operational impacts in model) | QB:Insufficient Data(No comprehensive plan for long-term monitoring and maintenance in model) | QC:Insufficient Data(No communication of monitoring and maintenance plan with operations and maintena) | QD:Insufficient Data(No allocation of sufficient resources for long-term monitoring and maintenance i) | QE:Insufficient Data(No plan to re-evaluate and modify maintenance plan based on monitored data in mo)</t>
  </si>
  <si>
    <t>A required for Enhanced</t>
  </si>
  <si>
    <t>Develop comprehensive plan for long-term monitoring and maintenance</t>
  </si>
  <si>
    <t>Monitoring and maintenance plan document; Resource allocation report</t>
  </si>
  <si>
    <t>LD2.4</t>
  </si>
  <si>
    <t>Plan for End-of-Life</t>
  </si>
  <si>
    <t>QA:Insufficient Data(No end-of-life plan developed in model) | QB:Insufficient Data(No evaluation of opportunities to extend project's useful life or beneficially r) | QC:Insufficient Data(No assessment of potential social, environmental, and economic end-of-life impac) | QD:Insufficient Data(No evaluation of costs and salvage value of project's deconstruction, decommissi) | QE:Insufficient Data(No proactive engagement of stakeholders in end-of-life planning in model)</t>
  </si>
  <si>
    <t>Develop end-of-life plan</t>
  </si>
  <si>
    <t>End-of-life plan document; Stakeholder engagement report</t>
  </si>
  <si>
    <t>Stimulate Economic Prosperity and Development</t>
  </si>
  <si>
    <t>QA:Insufficient Data(No creation of significant number of new jobs during design, construction, and o) | QB:Insufficient Data(No provision of new operating capacity for business, industry, or public in mode) | QC:Insufficient Data(No increase in access, quality, or number of choices for infrastructure services) | QD:Insufficient Data(No improvement of community attractiveness for business, industry, or public in ) | QE:Insufficient Data(No stimulation of economic prosperity and further economic development in model)</t>
  </si>
  <si>
    <t>Conduct economic impact assessment</t>
  </si>
  <si>
    <t>Economic impact report; Job creation plan</t>
  </si>
  <si>
    <t>Develop Local Skills and Capabilities</t>
  </si>
  <si>
    <t>QA:Insufficient Data(No inclusion of training programs for local skill development in model) | QB:Insufficient Data(No identification of skill or capability gaps in local workforce and targeting o) | QC:Insufficient Data(No continuation of training, education, or skill development programs after proj) | QD:Insufficient Data(No targeting of training and skill development programs to economically depresse)</t>
  </si>
  <si>
    <t>Develop training programs for local skill development</t>
  </si>
  <si>
    <t>Training program plan; Skill gap assessment report</t>
  </si>
  <si>
    <t>QA:Insufficient Data(No life-cycle cost analysis conducted to identify financial impacts of whole pro) | QB:Insufficient Data(No use of life-cycle cost analyses to compare alternatives for major project com) | QC:Insufficient Data(No mapping of social, environmental, and financial costs and benefits of project) | QD:Insufficient Data(No conduct of cost-benefit analysis to identify financial, social, and environme) | QE:Insufficient Data(No use of cost-benefit analyses to compare alternatives for major project compon)</t>
  </si>
  <si>
    <t>Conduct life-cycle cost analysis</t>
  </si>
  <si>
    <t>Life-cycle cost report; Cost-benefit analysis report</t>
  </si>
  <si>
    <t>Support Sustainable Procurement Practices</t>
  </si>
  <si>
    <t>The project includes the use or consumption of physical materials in construction or operation.</t>
  </si>
  <si>
    <t>QA:Insufficient Data(No sustainable procurement policy or program mentioned in the PDF metadata) | QB:Insufficient Data(No information on the extent of materials meeting sustainable procurement requir)</t>
  </si>
  <si>
    <t>Develop a sustainable procurement policy or program; Research and identify materials meeting sustainable procurement requirements</t>
  </si>
  <si>
    <t>Sustainable procurement policy or program document; Material sourcing and procurement records</t>
  </si>
  <si>
    <t>QA:Insufficient Data(No information on recycled material usage)</t>
  </si>
  <si>
    <t>Research and specify recycled materials for the project; Develop a plan for recycling and reusing materials during construction</t>
  </si>
  <si>
    <t>Recycled material usage records; Material sourcing and procurement documents</t>
  </si>
  <si>
    <t>The project produces operational waste.</t>
  </si>
  <si>
    <t>QA:Insufficient Data(No waste management plan mentioned in the PDF metadata) | QB:Insufficient Data(No information on waste reduction strategies)</t>
  </si>
  <si>
    <t>Develop a waste management plan; Research and implement waste reduction strategies</t>
  </si>
  <si>
    <t>Waste management plan document; Waste reduction strategy records</t>
  </si>
  <si>
    <t>The project produces construction waste.</t>
  </si>
  <si>
    <t>QA:Insufficient Data(No comprehensive waste management plan mentioned in the PDF metadata) | QB:Insufficient Data(No information on construction waste reduction strategies)</t>
  </si>
  <si>
    <t>Develop a comprehensive waste management plan; Research and implement construction waste reduction strategies</t>
  </si>
  <si>
    <t>Comprehensive waste management plan document; Construction waste reduction strategy records</t>
  </si>
  <si>
    <t>The project involves excavation of qualifying earthwork.</t>
  </si>
  <si>
    <t>QA:Insufficient Data(No information on earthwork balancing)</t>
  </si>
  <si>
    <t>Develop an earthwork balancing plan; Research and implement strategies for reducing earthwork movement</t>
  </si>
  <si>
    <t>Earthwork balancing plan document; Site excavation and fill records</t>
  </si>
  <si>
    <t>The project consumes energy during operation.</t>
  </si>
  <si>
    <t>QA:Insufficient Data(No estimated annual energy consumption mentioned in the PDF metadata) | QB:Insufficient Data(No information on operational energy reduction strategies)</t>
  </si>
  <si>
    <t>Estimate annual energy consumption; Research and implement operational energy reduction strategies</t>
  </si>
  <si>
    <t>Energy consumption records; Operational energy reduction strategy documents</t>
  </si>
  <si>
    <t>The project consumes energy during construction.</t>
  </si>
  <si>
    <t>QA:Insufficient Data(No planning reviews for reducing construction energy consumption mentioned in th) | QB:Insufficient Data(No information on construction energy reduction strategies)</t>
  </si>
  <si>
    <t>Conduct planning reviews for reducing construction energy consumption; Research and implement construction energy reduction strategies</t>
  </si>
  <si>
    <t>Construction energy consumption records; Construction energy reduction strategy documents</t>
  </si>
  <si>
    <t>QA:Insufficient Data(No information on renewable energy usage)</t>
  </si>
  <si>
    <t>Research and specify renewable energy systems for the project; Develop a plan for implementing renewable energy sources</t>
  </si>
  <si>
    <t>Renewable energy usage records; Renewable energy system documents</t>
  </si>
  <si>
    <t>QA:Insufficient Data(No advanced integrated monitoring systems mentioned in the PDF metadata) | QB:Insufficient Data(No information on commissioning and monitoring energy systems) | QC:Insufficient Data(No plan for ongoing commissioning mentioned in the PDF metadata)</t>
  </si>
  <si>
    <t>Develop a plan for advanced integrated monitoring systems; Research and implement commissioning and monitoring energy systems</t>
  </si>
  <si>
    <t>Energy monitoring system documents; Commissioning and monitoring plans</t>
  </si>
  <si>
    <t>The project consumes water or impacts receiving waters.</t>
  </si>
  <si>
    <t>QA:Insufficient Data(No watershed assessment mentioned in the PDF metadata) | QB:Insufficient Data(No estimated water usage and wastewater generation records) | QC:Insufficient Data(No features to minimize negative impacts on water resources mentioned in the PDF) | QD:Insufficient Data(No net-zero impact on fresh surface water and groundwater supplies mentioned in ) | QE:Insufficient Data(No project inclusion in a watershed-level or regional plan mentioned in the PDF ) | QF:Insufficient Data(No direct net-positive improvement to the watershed mentioned in the PDF metadat)</t>
  </si>
  <si>
    <t>Conduct a watershed assessment; Estimate water usage and wastewater generation; Research and implement water conservation features</t>
  </si>
  <si>
    <t>Watershed assessment report; Water usage and wastewater generation records; Water conservation feature documents</t>
  </si>
  <si>
    <t>The project consumes water during operation.</t>
  </si>
  <si>
    <t>QA:Insufficient Data(No planning and design reviews for reducing operational water consumption mentio) | QB:Insufficient Data(No information on potable water reduction strategies) | QC:Insufficient Data(No information on overall water use reduction strategies) | QD:Insufficient Data(No net-positive impact on water use mentioned in the PDF metadata)</t>
  </si>
  <si>
    <t>Conduct planning and design reviews for reducing operational water consumption; Research and implement potable water reduction strategies; Develop a plan for overall water use reduction</t>
  </si>
  <si>
    <t>Operational water consumption records; Potable water reduction strategy documents; Overall water use reduction strategy documents</t>
  </si>
  <si>
    <t>The project consumes water during construction.</t>
  </si>
  <si>
    <t>QA:Insufficient Data(No planning reviews for reducing construction water consumption mentioned in the) | QB:Insufficient Data(No information on potable water conservation strategies during construction)</t>
  </si>
  <si>
    <t>Conduct planning reviews for reducing construction water consumption; Research and implement potable water conservation strategies during construction</t>
  </si>
  <si>
    <t>Construction water consumption records; Potable water conservation strategy documents</t>
  </si>
  <si>
    <t>The project consumes water or includes the conveyance of large quantities of water.</t>
  </si>
  <si>
    <t>QA:Insufficient Data(No advanced integrated monitoring systems mentioned in the PDF metadata) | QB:Insufficient Data(No real-time water monitoring mentioned in the PDF metadata)</t>
  </si>
  <si>
    <t>Develop a plan for advanced integrated monitoring systems; Research and implement real-time water monitoring</t>
  </si>
  <si>
    <t>Water monitoring system documents; Real-time water monitoring records</t>
  </si>
  <si>
    <t>A,B,C required for Improved</t>
  </si>
  <si>
    <t>A,B required for Improved</t>
  </si>
  <si>
    <t>A,B,C required for Enhanced</t>
  </si>
  <si>
    <t>A+B required for Improved</t>
  </si>
  <si>
    <t>Conduct siting hazard assessment; Consider alternative sites and projects</t>
  </si>
  <si>
    <t>Siting hazard assessment report; Alternative site and project evaluation</t>
  </si>
  <si>
    <t>Conduct climate change vulnerability assessment; Determine infrastructure system and community vulnerability</t>
  </si>
  <si>
    <t>Climate change vulnerability assessment report; Infrastructure system and community vulnerability evaluation</t>
  </si>
  <si>
    <t>A+B+C+D+E required for Superior</t>
  </si>
  <si>
    <t>Risk assessment report; Critical function and dependency evaluation</t>
  </si>
  <si>
    <t>QA:Insufficient Data(No information on identification of project performance goals in PDF metadata) | QB:Insufficient Data(No information on development of risk management strategies in PDF metadata) | QC:Insufficient Data(No information on engagement of key stakeholders in resilience goals in PDF meta) | QD:Insufficient Data(No information on incorporation of project into larger community resilience goal)</t>
  </si>
  <si>
    <t>A+B required for Enhanced</t>
  </si>
  <si>
    <t>Project performance goal identification report; Risk management strategy development</t>
  </si>
  <si>
    <t>QA:Insufficient Data(No information on development of resilience goals and strategies in PDF metadata) | QB:Insufficient Data(No information on implementation of resilience strategies in PDF metadata) | QC:Insufficient Data(No information on monitoring and review of resilience strategy effectiveness in ) | QD:Insufficient Data(No information on incorporation of resilience goals and strategies into operatio) | QE:Insufficient Data(No information on measurement or quantification of resilience performance target)</t>
  </si>
  <si>
    <t>A+B+C+D+E required for Conserving</t>
  </si>
  <si>
    <t>Resilience goal and strategy development report; Resilience strategy implementation plan</t>
  </si>
  <si>
    <t>Internal systems integration report; Systemic or cascading failure risk reduction plan</t>
  </si>
  <si>
    <t>QA:Insufficient Data(No community needs assessment in model) | QB:Insufficient Data(No sustainability management plan in model) | QC:Insufficient Data(No periodic revisit of project sustainability commitments) | QD:Insufficient Data(No organizational commitments to sustainability from key team members)</t>
  </si>
  <si>
    <t>QA:Insufficient Data(No interdisciplinary collaborative kickoff meeting) | QB:Insufficient Data(No sustainability performance enhancements from collaboration) | QC:Insufficient Data(No regular interdisciplinary and collaborative meetings) | QD:Insufficient Data(No inclusion of construction, operations, or maintenance stakeholders)</t>
  </si>
  <si>
    <t>Schedule interdisciplinary collaborative kickoff meeting</t>
  </si>
  <si>
    <t>Meeting minutes from collaborative meetings; Sustainability performance enhancements report</t>
  </si>
  <si>
    <t>QA:Insufficient Data(No stakeholder mapping exercise) | QB:Insufficient Data(No proactive stakeholder engagement process) | QC:Insufficient Data(No lead member of project team involved with stakeholders) | QD:Insufficient Data(No incorporation of stakeholder feedback into project plans) | QE:Insufficient Data(No stakeholder satisfaction assessment) | QF:No(Project team has not engaged stakeholders as partners)</t>
  </si>
  <si>
    <t>A, B required for Improved</t>
  </si>
  <si>
    <t>Conduct stakeholder mapping exercise; Establish proactive stakeholder engagement process</t>
  </si>
  <si>
    <t>Stakeholder mapping report; Stakeholder engagement plan</t>
  </si>
  <si>
    <t>QA:Insufficient Data(No assessment of excess resources or capacity) | QB:Insufficient Data(No identification of byproduct synergy opportunities) | QC:Insufficient Data(No pursuit of byproduct synergies) | QD:Insufficient Data(No inclusion of byproduct synergies in project) | QE:Insufficient Data(No circular economy approach)</t>
  </si>
  <si>
    <t>Assess excess resources and capacity; Identify byproduct synergy opportunities</t>
  </si>
  <si>
    <t>Byproduct synergy assessment report; Byproduct synergy implementation plan</t>
  </si>
  <si>
    <t>QA:Insufficient Data(No roles and responsibilities assigned for sustainability) | QB:Insufficient Data(No sustainability management plan developed) | QC:Insufficient Data(No processes and management controls for sustainability) | QD:Insufficient Data(No implementation of sustainability management plan) | QE:Insufficient Data(No adaptability and flexibility in sustainability management plan)</t>
  </si>
  <si>
    <t>Assign roles and responsibilities for sustainability; Develop sustainability management plan</t>
  </si>
  <si>
    <t>Sustainability management plan document; Sustainability performance metrics report</t>
  </si>
  <si>
    <t>QA:Insufficient Data(No consideration of sustainability during project selection) | QB:Insufficient Data(No alternative analyses conducted on sustainability performance) | QC:Insufficient Data(No assessment of project impacts on broader community or regional sustainability) | QD:Insufficient Data(No comprehensive sustainable development plan) | QE:Insufficient Data(No address of inherently unsustainable conditions in community or region)</t>
  </si>
  <si>
    <t>Consider sustainability during project selection; Conduct alternative analyses on sustainability performance</t>
  </si>
  <si>
    <t>Sustainability consideration report; Alternative analysis report</t>
  </si>
  <si>
    <t>QA:Insufficient Data(No consideration of ongoing operational impacts) | QB:Insufficient Data(No comprehensive plan for long-term monitoring and maintenance) | QC:Insufficient Data(No communication of monitoring and maintenance plan with operations and maintena) | QD:Insufficient Data(No allocation of sufficient resources for long-term monitoring and maintenance) | QE:Insufficient Data(No plan to re-evaluate and modify maintenance plan based on monitored data)</t>
  </si>
  <si>
    <t>Consider ongoing operational impacts; Develop comprehensive plan for long-term monitoring and maintenance</t>
  </si>
  <si>
    <t>Long-term monitoring and maintenance plan document; Operations and maintenance staff training records</t>
  </si>
  <si>
    <t>QA:Insufficient Data(No end-of-life plan developed) | QB:Insufficient Data(No evaluation of opportunities to extend project's useful life or beneficially r) | QC:Insufficient Data(No assessment of potential social, environmental, and economic end-of-life impac) | QD:Insufficient Data(No evaluation of costs and salvage value of project's deconstruction, decommissi) | QE:Insufficient Data(No proactive engagement of stakeholders in end-of-life planning)</t>
  </si>
  <si>
    <t>Develop end-of-life plan; Evaluate opportunities to extend project's useful life or beneficially repurpose project after end-of-life</t>
  </si>
  <si>
    <t>End-of-life plan document; End-of-life impact assessment report</t>
  </si>
  <si>
    <t>QA:Insufficient Data(No creation of significant number of new jobs during design, construction, and o) | QB:Insufficient Data(No provision of new operating capacity for business, industry, or public) | QC:Insufficient Data(No increase in access, choices, or quality of infrastructure services for busine) | QD:Insufficient Data(No improvement of community attractiveness for business, industry, or public) | QE:Insufficient Data(No stimulation of economic prosperity and further economic development)</t>
  </si>
  <si>
    <t>Create new jobs during design, construction, and operation; Provide new operating capacity for business, industry, or public</t>
  </si>
  <si>
    <t>Job creation report; Operating capacity assessment report</t>
  </si>
  <si>
    <t>QA:Insufficient Data(No inclusion of training programs for local skill development) | QB:Insufficient Data(No identification of skill or capability gaps in local workforce and targeting o) | QC:Insufficient Data(No continuation of training, education, or skill development programs after proj) | QD:Insufficient Data(No targeting of training and skill development programs to economically depresse)</t>
  </si>
  <si>
    <t>Include training programs for local skill development; Identify skill or capability gaps in local workforce and target training programs</t>
  </si>
  <si>
    <t>Training program report; Skill gap assessment report</t>
  </si>
  <si>
    <t>QA:Insufficient Data(No life-cycle cost analysis conducted) | QB:Insufficient Data(No use of life-cycle cost analyses to compare alternatives for major project com) | QC:Insufficient Data(No mapping of social, environmental, and financial costs and benefits of project) | QD:Insufficient Data(No conduct of cost-benefit analysis to identify financial, social, and environme) | QE:Insufficient Data(No use of cost-benefit analyses to compare alternatives for major project compon)</t>
  </si>
  <si>
    <t>Conduct life-cycle cost analysis; Use life-cycle cost analyses to compare alternatives for major project components</t>
  </si>
  <si>
    <t>Life-cycle cost analysis report; Cost-benefit analysis report</t>
  </si>
  <si>
    <t>The project includes the use of physical materials in construction or operation.</t>
  </si>
  <si>
    <t>QA:Likely Yes(Project team has conducted planning reviews to identify sustainable procurement ) | QB:Insufficient Data(No data on the extent of sustainable procurement practices implemented.)</t>
  </si>
  <si>
    <t>Develop a comprehensive sustainable procurement policy.; Conduct planning reviews to identify sustainable procurement strategies.</t>
  </si>
  <si>
    <t>Sustainable procurement policy document.; Records of planning reviews and sustainable procurement strategies implemented.</t>
  </si>
  <si>
    <t>QA:Likely Yes(Project team has considered using recycled materials.)</t>
  </si>
  <si>
    <t>Specify recycled materials in the project design.; Research and identify potential sources of recycled materials.</t>
  </si>
  <si>
    <t>Material specifications indicating use of recycled materials.; Records of research on potential sources of recycled materials.</t>
  </si>
  <si>
    <t>QA:Likely Yes(Project team has developed a waste management plan.) | QB:Insufficient Data(No data on the extent of operational waste reduction.)</t>
  </si>
  <si>
    <t>Develop a comprehensive waste management plan.; Conduct planning reviews to identify waste reduction strategies.</t>
  </si>
  <si>
    <t>Waste management plan document.; Records of planning reviews and waste reduction strategies implemented.</t>
  </si>
  <si>
    <t>QA:Likely Yes(Project team has conducted planning reviews to reduce construction waste.) | QB:Insufficient Data(No data on the extent of construction waste reduction.)</t>
  </si>
  <si>
    <t>Develop a comprehensive construction waste management plan.; Conduct planning reviews to identify waste reduction strategies.</t>
  </si>
  <si>
    <t>Construction waste management plan document.; Records of planning reviews and waste reduction strategies implemented.</t>
  </si>
  <si>
    <t>QA:Likely Yes(Project team has designed the project to balance cut and fill.)</t>
  </si>
  <si>
    <t>Design the project to balance cut and fill.; Conduct geotechnical surveys to inform earthwork design.</t>
  </si>
  <si>
    <t>Geotechnical survey reports.; Earthwork design documents.</t>
  </si>
  <si>
    <t>QA:Likely Yes(Project team has determined the estimated annual energy consumption.) | QB:Insufficient Data(No data on the extent of operational energy reduction.)</t>
  </si>
  <si>
    <t>Conduct energy audits to identify areas for improvement.; Develop an energy management plan.</t>
  </si>
  <si>
    <t>Energy audit reports.; Energy management plan document.</t>
  </si>
  <si>
    <t>QA:Likely Yes(Project team has conducted planning reviews to reduce construction energy consum) | QB:Insufficient Data(No data on the extent of construction energy reduction.)</t>
  </si>
  <si>
    <t>Develop a comprehensive construction energy management plan.; Conduct planning reviews to identify energy reduction strategies.</t>
  </si>
  <si>
    <t>Construction energy management plan document.; Records of planning reviews and energy reduction strategies implemented.</t>
  </si>
  <si>
    <t>QA:Likely Yes(Project team has considered using renewable energy sources.)</t>
  </si>
  <si>
    <t>Research and identify potential renewable energy sources.; Develop a plan to integrate renewable energy into the project.</t>
  </si>
  <si>
    <t>Renewable energy source research reports.; Plan for integrating renewable energy into the project.</t>
  </si>
  <si>
    <t>QA:Likely Yes(Project team has designed the project to include advanced integrated monitoring ) | QB:Insufficient Data(No data on the extent of commissioning and monitoring.)</t>
  </si>
  <si>
    <t>Develop a comprehensive commissioning plan.; Conduct planning reviews to identify monitoring and verification needs.</t>
  </si>
  <si>
    <t>Commissioning plan document.; Records of planning reviews and monitoring and verification strategies implemented.</t>
  </si>
  <si>
    <t>QA:Likely Yes(Project team has conducted a watershed assessment.) | QB:Insufficient Data(No data on the extent of water conservation.)</t>
  </si>
  <si>
    <t>Conduct a watershed assessment.; Develop a comprehensive water conservation plan.</t>
  </si>
  <si>
    <t>Watershed assessment report.; Water conservation plan document.</t>
  </si>
  <si>
    <t>QA:Likely Yes(Project team has conducted planning reviews to reduce operational water consumpt) | QB:Insufficient Data(No data on the extent of operational water reduction.)</t>
  </si>
  <si>
    <t>Develop a comprehensive water management plan.; Conduct planning reviews to identify water reduction strategies.</t>
  </si>
  <si>
    <t>Water management plan document.; Records of planning reviews and water reduction strategies implemented.</t>
  </si>
  <si>
    <t>QA:Likely Yes(Project team has conducted planning reviews to reduce construction water consump) | QB:Insufficient Data(No data on the extent of construction water reduction.)</t>
  </si>
  <si>
    <t>Develop a comprehensive construction water management plan.; Conduct planning reviews to identify water reduction strategies.</t>
  </si>
  <si>
    <t>Construction water management plan document.; Records of planning reviews and water reduction strategies implemented.</t>
  </si>
  <si>
    <t>QA:Likely Yes(Project team has designed the project to include advanced integrated monitoring ) | QB:Insufficient Data(No data on the extent of monitoring and verification.)</t>
  </si>
  <si>
    <t>Develop a comprehensive monitoring plan.; Conduct planning reviews to identify monitoring and verification needs.</t>
  </si>
  <si>
    <t>Monitoring plan document.; Records of planning reviews and monitoring and verification strategies implemented.</t>
  </si>
  <si>
    <t>The project team has made written commitments to address social, environmental, and economic aspects of the project.</t>
  </si>
  <si>
    <t>QA:Likely Yes(Project team's commitment to sustainability) | QB:Insufficient Data | QC:Insufficient Data | QD:Insufficient Data</t>
  </si>
  <si>
    <t>A</t>
  </si>
  <si>
    <t>Develop a sustainability management plan</t>
  </si>
  <si>
    <t>The project team has established regular interdisciplinary and collaborative meetings to set and achieve sustainability goals.</t>
  </si>
  <si>
    <t>QA:Likely Yes(Project team's collaboration) | QB:Insufficient Data | QC:Insufficient Data | QD:Insufficient Data</t>
  </si>
  <si>
    <t>Establish a collaboration plan</t>
  </si>
  <si>
    <t>Collaboration plan; Meeting records</t>
  </si>
  <si>
    <t>The project team has undertaken a stakeholder mapping exercise to determine stakeholders.</t>
  </si>
  <si>
    <t>QA:Likely Yes(Stakeholder mapping exercise) | QB:Insufficient Data | QC:Insufficient Data | QD:Insufficient Data | QE:Insufficient Data | QF:No(No stakeholder partnership)</t>
  </si>
  <si>
    <t>A, B</t>
  </si>
  <si>
    <t>Develop a stakeholder engagement plan</t>
  </si>
  <si>
    <t>Stakeholder engagement plan; Stakeholder feedback records</t>
  </si>
  <si>
    <t>The project team has assessed the availability of internal or external excess resources or capacity.</t>
  </si>
  <si>
    <t>QA:Likely Yes(Project team's assessment of excess resources) | QB:Insufficient Data | QC:Insufficient Data | QD:Insufficient Data | QE:Insufficient Data</t>
  </si>
  <si>
    <t>Identify potential byproduct synergies</t>
  </si>
  <si>
    <t>Byproduct synergy assessment; Implementation plan</t>
  </si>
  <si>
    <t>The project team has developed a sustainability management plan to assess and prioritize environmental, economic, and social aspects of the project.</t>
  </si>
  <si>
    <t>QA:Likely Yes(Sustainability management plan) | QB:Insufficient Data | QC:Insufficient Data | QD:Insufficient Data | QE:Insufficient Data</t>
  </si>
  <si>
    <t>Sustainability management plan; Implementation records</t>
  </si>
  <si>
    <t>The project team has considered sustainability during project selection/identification.</t>
  </si>
  <si>
    <t>QA:Likely Yes(Project team's consideration of sustainability) | QB:Insufficient Data | QC:Insufficient Data | QD:Insufficient Data | QE:Insufficient Data</t>
  </si>
  <si>
    <t>Develop a community sustainability plan</t>
  </si>
  <si>
    <t>Community sustainability plan; Stakeholder engagement records</t>
  </si>
  <si>
    <t>The project team has considered how to reduce ongoing operational impacts.</t>
  </si>
  <si>
    <t>QA:Likely Yes(Project team's consideration of operational impacts) | QB:Insufficient Data | QC:Insufficient Data | QD:Insufficient Data | QE:Insufficient Data</t>
  </si>
  <si>
    <t>Develop a monitoring and maintenance plan</t>
  </si>
  <si>
    <t>Monitoring and maintenance plan; Implementation records</t>
  </si>
  <si>
    <t>The project team has developed an end-of-life plan.</t>
  </si>
  <si>
    <t>QA:Likely Yes(End-of-life plan) | QB:Insufficient Data | QC:Insufficient Data | QD:Insufficient Data | QE:Insufficient Data</t>
  </si>
  <si>
    <t>Develop an end-of-life plan</t>
  </si>
  <si>
    <t>End-of-life plan; Implementation records</t>
  </si>
  <si>
    <t>The project team has considered how to support economic prosperity and development.</t>
  </si>
  <si>
    <t>QA:Likely Yes(Project team's consideration of economic prosperity) | QB:Insufficient Data | QC:Insufficient Data | QD:Insufficient Data | QE:Insufficient Data</t>
  </si>
  <si>
    <t>Develop an economic development plan</t>
  </si>
  <si>
    <t>Economic development plan; Stakeholder engagement records</t>
  </si>
  <si>
    <t>The project team has considered how to expand local skills and capabilities.</t>
  </si>
  <si>
    <t>QA:Likely Yes(Project team's consideration of local skills) | QB:Insufficient Data | QC:Insufficient Data | QD:Insufficient Data</t>
  </si>
  <si>
    <t>Develop a local skills development plan</t>
  </si>
  <si>
    <t>Local skills development plan; Training records</t>
  </si>
  <si>
    <t>The project team has considered how to conduct a life-cycle economic evaluation.</t>
  </si>
  <si>
    <t>QA:Likely Yes(Project team's consideration of life-cycle costs) | QB:Insufficient Data | QC:Insufficient Data | QD:Insufficient Data | QE:Insufficient Data</t>
  </si>
  <si>
    <t>Conduct a life-cycle economic evaluation</t>
  </si>
  <si>
    <t>Life-cycle economic evaluation report; Implementation records</t>
  </si>
  <si>
    <t>Develop a comprehensive sustainable procurement plan</t>
  </si>
  <si>
    <t>Sustainable procurement policy or program documentation</t>
  </si>
  <si>
    <t>Research and specify recycled materials for the project</t>
  </si>
  <si>
    <t>Material takeoffs and recycling plans</t>
  </si>
  <si>
    <t>Develop a comprehensive waste management plan</t>
  </si>
  <si>
    <t>Waste management plan and operational waste reduction strategies</t>
  </si>
  <si>
    <t>Develop a comprehensive construction waste management plan</t>
  </si>
  <si>
    <t>Construction waste management plan and reduction strategies</t>
  </si>
  <si>
    <t>The project involves earthwork.</t>
  </si>
  <si>
    <t>Develop an earthwork balancing plan</t>
  </si>
  <si>
    <t>Earthwork balancing plan</t>
  </si>
  <si>
    <t>Conduct an energy consumption analysis and develop reduction strategies</t>
  </si>
  <si>
    <t>Energy consumption analysis and reduction strategies</t>
  </si>
  <si>
    <t>Conduct a construction energy consumption analysis and develop reduction strategies</t>
  </si>
  <si>
    <t>Construction energy consumption analysis and reduction strategies</t>
  </si>
  <si>
    <t>QA:Insufficient Data(No data on the extent of renewable energy use.)</t>
  </si>
  <si>
    <t>Research and consider renewable energy options for the project</t>
  </si>
  <si>
    <t>Renewable energy plans and implementation strategies</t>
  </si>
  <si>
    <t>QA:Likely Yes(Project team has incorporated advanced integrated monitoring systems.) | QB:Insufficient Data(No data on the extent of commissioning and monitoring.) | QC:Insufficient Data(No data on the plan for ongoing commissioning.)</t>
  </si>
  <si>
    <t>Develop a comprehensive commissioning and monitoring plan</t>
  </si>
  <si>
    <t>Commissioning and monitoring plans</t>
  </si>
  <si>
    <t>QA:Likely Yes(Project team has conducted a watershed assessment.) | QB:Insufficient Data(No data on the extent of water usage and wastewater generation.) | QC:Insufficient Data(No data on features to minimize negative impacts on water resources.) | QD:Insufficient Data(No data on the net-zero impact on fresh surface water and groundwater supplies.) | QE:Insufficient Data(No data on the project's inclusion in a watershed-level or regional plan.) | QF:Insufficient Data(No data on the direct net-positive improvement to the watershed.)</t>
  </si>
  <si>
    <t>Conduct a watershed assessment and develop water conservation strategies</t>
  </si>
  <si>
    <t>Watershed assessment and water conservation plans</t>
  </si>
  <si>
    <t>QA:Likely Yes(Project team has conducted planning and design reviews to reduce potable water u) | QB:Insufficient Data(No data on the extent of potable water reduction.) | QC:Insufficient Data(No data on the extent of overall water use reduction.) | QD:Insufficient Data(No data on the net-positive impact on water use.)</t>
  </si>
  <si>
    <t>Conduct a water consumption analysis and develop reduction strategies</t>
  </si>
  <si>
    <t>Water consumption analysis and reduction strategies</t>
  </si>
  <si>
    <t>QA:Likely Yes(Project team has conducted planning reviews to reduce water consumption during c) | QB:Insufficient Data(No data on the extent of water conservation strategies implemented.)</t>
  </si>
  <si>
    <t>Conduct a construction water consumption analysis and develop reduction strategies</t>
  </si>
  <si>
    <t>Construction water consumption analysis and reduction strategies</t>
  </si>
  <si>
    <t>QA:Likely Yes(Project team has incorporated advanced integrated monitoring systems.) | QB:Insufficient Data(No data on the extent of real-time water monitoring.)</t>
  </si>
  <si>
    <t>Develop a comprehensive water monitoring plan</t>
  </si>
  <si>
    <t>Water monitoring plans</t>
  </si>
  <si>
    <t>QA:Insufficient Data(No information on reduction of greenhouse gas emissions in PDF metadata) | QB:Insufficient Data(No calculation or reporting of annual greenhouse gas emissions in PDF metadata)</t>
  </si>
  <si>
    <t>QA:Insufficient Data(No information on meeting air quality standards in PDF metadata) | QB:Insufficient Data(No information on reduction of air pollutant emissions in PDF metadata) | QC:Insufficient Data(No information on monitoring and management of direct air pollutant emissions in) | QD:Insufficient Data(No assessment of materiality of volatile organic compounds in PDF metadata) | QE:Insufficient Data(No information on removal of existing air pollutant sources in PDF metadata)</t>
  </si>
  <si>
    <t>Conduct air quality assessment; Reduce air pollutant emissions</t>
  </si>
  <si>
    <t>Air quality assessment report; Reduction of air pollutant emissions plan</t>
  </si>
  <si>
    <t>QA:Insufficient Data(No identification of potential siting hazards in PDF metadata) | QB:Insufficient Data(No consideration of siting and project alternatives in PDF metadata) | QC:Insufficient Data(No implementation of strategies to mitigate site hazards in PDF metadata) | QD:Insufficient Data(No demonstration of lowest exposure to site hazards in PDF metadata) | QE:Insufficient Data(No intentional avoidance of known site hazards in PDF metadata) | QF:Insufficient Data(No removal or modification of structures subject to frequent damage in PDF metad)</t>
  </si>
  <si>
    <t>Identify potential siting hazards; Consider siting and project alternatives</t>
  </si>
  <si>
    <t>Siting hazard assessment report; Siting and project alternative evaluation</t>
  </si>
  <si>
    <t>QA:Insufficient Data(No determination of climate change threats in PDF metadata) | QB:Insufficient Data(No determination of vulnerability to climate change threats in PDF metadata) | QC:Insufficient Data(No determination of infrastructure system vulnerability to climate change threat) | QD:Insufficient Data(No determination of community vulnerability to climate change threats in PDF met) | QE:Insufficient Data(No sharing of climate threat findings in PDF metadata)</t>
  </si>
  <si>
    <t>QA:Insufficient Data(No comprehensive risk evaluation in PDF metadata) | QB:Insufficient Data(No identification of critical functions and dependencies in PDF metadata) | QC:Insufficient Data(No identification of threats or hazards in PDF metadata) | QD:Insufficient Data(No evaluation of risks in PDF metadata) | QE:Insufficient Data(No participation of owner and stakeholders in risk evaluation in PDF metadata) | QF:Insufficient Data(No consideration of diverse and integrated team in risk evaluation in PDF metada)</t>
  </si>
  <si>
    <t>Conduct comprehensive risk evaluation; Identify critical functions and dependencies</t>
  </si>
  <si>
    <t>Comprehensive risk evaluation report; Critical function and dependency identification</t>
  </si>
  <si>
    <t>QA:Insufficient Data(No identification of project performance goals in PDF metadata) | QB:Insufficient Data(No development of risk management strategies in PDF metadata) | QC:Insufficient Data(No engagement of key stakeholders in resilience goal development in PDF metadata) | QD:Insufficient Data(No consideration of larger community resilience goals in PDF metadata)</t>
  </si>
  <si>
    <t>Project performance goal identification; Risk management strategy development</t>
  </si>
  <si>
    <t>QA:Insufficient Data(No development of resilience goals and strategies in PDF metadata) | QB:Insufficient Data(No implementation of resilience strategies in PDF metadata) | QC:Insufficient Data(No monitoring of resilience strategy effectiveness in PDF metadata) | QD:Insufficient Data(No incorporation of resilience goals and strategies into operations and maintena) | QE:Insufficient Data(No measurement or quantification of resilience performance targets in PDF metada)</t>
  </si>
  <si>
    <t>Resilience goal and strategy development; Resilience strategy implementation</t>
  </si>
  <si>
    <t>QA:Insufficient Data(No increase in internal systems integration in PDF metadata) | QB:Insufficient Data(No reduction of risk of systemic or cascading failures in PDF metadata) | QC:Insufficient Data(No increase in external systems integration in PDF metadata) | QD:Insufficient Data(No integration of infrastructure networks in PDF metadata) | QE:Insufficient Data(No integration of data or monitoring systems in PDF metadata)</t>
  </si>
  <si>
    <t>Internal systems integration plan; Systemic or cascading failure risk reduction plan</t>
  </si>
  <si>
    <t>QA:Insufficient Data(No written commitments to address social, environmental, and economic aspects fo) | QB:Insufficient Data(No sustainability management policy mentioned in PDF metadata) | QC:Insufficient Data(No information on periodic revisiting of project sustainability commitments foun) | QD:Insufficient Data(No evidence of key team members' organizational commitments to sustainability fo)</t>
  </si>
  <si>
    <t>Develop written commitments to address social, environmental, and economic aspects; Establish a sustainability management policy</t>
  </si>
  <si>
    <t>Written commitments document; Sustainability management policy document</t>
  </si>
  <si>
    <t>QA:Insufficient Data(No interdisciplinary collaborative kickoff meeting information found in PDF meta) | QB:Insufficient Data(No evidence of enhanced sustainability performance through collaboration found i) | QC:Insufficient Data(No regular interdisciplinary and collaborative meetings information found in PDF) | QD:Insufficient Data(No inclusion of construction, operations, or maintenance stakeholders mentioned )</t>
  </si>
  <si>
    <t>Hold an interdisciplinary collaborative kickoff meeting; Establish regular collaborative meetings</t>
  </si>
  <si>
    <t>Collaborative meeting minutes; Stakeholder engagement plan</t>
  </si>
  <si>
    <t>QA:Insufficient Data(No stakeholder mapping exercise information found in PDF metadata) | QB:Insufficient Data(No proactive stakeholder engagement process mentioned in PDF metadata) | QC:Insufficient Data(No lead member of the project team involved with stakeholders found in PDF metad) | QD:Insufficient Data(No stakeholder engagement feedback incorporation mentioned in PDF metadata) | QE:Insufficient Data(No stakeholder partnership information found in PDF metadata) | QF:No(No mention of stakeholder partnerships in PDF metadata)</t>
  </si>
  <si>
    <t>Conduct a stakeholder mapping exercise; Establish a proactive stakeholder engagement process</t>
  </si>
  <si>
    <t>QA:Insufficient Data(No assessment of excess resources or capacity mentioned in PDF metadata) | QB:Insufficient Data(No identification of byproduct synergy opportunities found in PDF metadata) | QC:Insufficient Data(No pursuit of byproduct synergies mentioned in PDF metadata) | QD:Insufficient Data(No inclusion of byproduct synergy in the project found in PDF metadata) | QE:Insufficient Data(No evidence of a circular economy approach mentioned in PDF metadata)</t>
  </si>
  <si>
    <t>QA:Insufficient Data(No roles and responsibilities for sustainability assigned mentioned in PDF metad) | QB:Insufficient Data(No sustainability management plan developed mentioned in PDF metadata) | QC:Insufficient Data(No sufficient processes and management controls for sustainability mentioned in ) | QD:Insufficient Data(No implementation and periodic revisit of the sustainability management plan men) | QE:Insufficient Data(No adaptability and flexibility of the sustainability management plan mentioned )</t>
  </si>
  <si>
    <t>Assign roles and responsibilities for sustainability; Develop a sustainability management plan</t>
  </si>
  <si>
    <t>Sustainability management plan document; Roles and responsibilities assignment document</t>
  </si>
  <si>
    <t>QA:Insufficient Data(No consideration of sustainability during project selection/identification menti) | QB:Insufficient Data(No alternative analyses conducted on sustainability performance mentioned in PDF) | QC:Insufficient Data(No assessment of the project's impacts to broader long-term community or regiona) | QD:Insufficient Data(No comprehensive sustainable development plan mentioned in PDF metadata) | QE:Insufficient Data(No address of an inherently unsustainable condition within the community or regi)</t>
  </si>
  <si>
    <t>Consider sustainability during project selection/identification; Conduct alternative analyses on sustainability performance</t>
  </si>
  <si>
    <t>QA:Insufficient Data(No consideration of reducing ongoing operational impacts mentioned in PDF metada) | QB:Insufficient Data(No comprehensive plan for long-term monitoring and maintenance mentioned in PDF ) | QC:Insufficient Data(No communication of the monitoring and maintenance plan with operations and main) | QD:Insufficient Data(No allocation of sufficient resources for long-term monitoring and maintenance m) | QE:Insufficient Data(No plan to re-evaluate and modify the maintenance plan based on monitored data m)</t>
  </si>
  <si>
    <t>Consider reducing ongoing operational impacts; Develop a comprehensive plan for long-term monitoring and maintenance</t>
  </si>
  <si>
    <t>Monitoring and maintenance plan document; Resource allocation plan</t>
  </si>
  <si>
    <t>QA:Insufficient Data(No development of an end-of-life plan mentioned in PDF metadata) | QB:Insufficient Data(No evaluation of opportunities to extend the project's useful life or beneficial) | QC:Insufficient Data(No assessment of potential social, environmental, and economic end-of-life impac) | QD:Insufficient Data(No evaluation of the costs and salvage value of the project's deconstruction, de) | QE:Insufficient Data(No proactive engagement of stakeholders in end-of-life planning mentioned in PDF)</t>
  </si>
  <si>
    <t>Develop an end-of-life plan; Evaluate opportunities to extend the project's useful life or beneficially repurpose the project after end-of-life</t>
  </si>
  <si>
    <t>End-of-life plan document; Opportunity evaluation report</t>
  </si>
  <si>
    <t>QA:Insufficient Data(No creation of a significant number of new jobs during design, construction, and) | QB:Insufficient Data(No provision of new operating capacity for business, industry, or the public men) | QC:Insufficient Data(No increase in access, choices, or quality of infrastructure services for busine) | QD:Insufficient Data(No improvement of community attractiveness for business, industry, or the public) | QE:Insufficient Data(No stimulation of economic prosperity and further economic development mentioned)</t>
  </si>
  <si>
    <t>Create new jobs during design, construction, and operation; Provide new operating capacity for business, industry, or the public</t>
  </si>
  <si>
    <t>Job creation plan; Operating capacity provision plan</t>
  </si>
  <si>
    <t>QA:Insufficient Data(No inclusion of training programs for local skill development mentioned in PDF m) | QB:Insufficient Data(No identification of skill or capability gaps in the local workforce mentioned i) | QC:Insufficient Data(No continuation of training, education, or skill development programs after proj) | QD:Insufficient Data(No targeting of training and skill development programs to economically depresse)</t>
  </si>
  <si>
    <t>Include training programs for local skill development; Identify skill or capability gaps in the local workforce</t>
  </si>
  <si>
    <t>Training program plan; Skill gap analysis report</t>
  </si>
  <si>
    <t>QA:Insufficient Data(No conduct of a life-cycle cost analysis mentioned in PDF metadata) | QB:Insufficient Data(No use of life-cycle cost analyses to compare alternatives for at least one majo) | QC:Insufficient Data(No mapping of the social, environmental, and financial costs and benefits of the) | QD:Insufficient Data(No conduct of a cost-benefit analysis mentioned in PDF metadata) | QE:Insufficient Data(No use of cost-benefit analyses to compare alternatives for at least one major p)</t>
  </si>
  <si>
    <t>Conduct a life-cycle cost analysis; Use life-cycle cost analyses to compare alternatives</t>
  </si>
  <si>
    <t>Life-cycle cost analysis report; Alternative comparison report</t>
  </si>
  <si>
    <t>Research and identify opportunities for using recycled materials; Develop a plan for incorporating recycled materials into the project</t>
  </si>
  <si>
    <t>Develop a waste management plan; Research and identify opportunities for reducing operational waste</t>
  </si>
  <si>
    <t>Develop a comprehensive waste management plan; Research and identify opportunities for reducing construction waste</t>
  </si>
  <si>
    <t>The project involves the excavation of qualifying earthwork.</t>
  </si>
  <si>
    <t>Develop an earthwork balancing plan; Research and identify opportunities for reducing earthwork movement</t>
  </si>
  <si>
    <t>Estimate annual energy consumption; Research and identify opportunities for reducing operational energy consumption</t>
  </si>
  <si>
    <t>Conduct planning reviews for reducing construction energy consumption; Research and identify opportunities for reducing construction energy consumption</t>
  </si>
  <si>
    <t>Research and identify opportunities for using renewable energy; Develop a plan for incorporating renewable energy into the project</t>
  </si>
  <si>
    <t>Develop a plan for advanced integrated monitoring systems; Research and identify opportunities for commissioning and monitoring energy systems</t>
  </si>
  <si>
    <t>Conduct a watershed assessment; Estimate water usage and wastewater generation; Research and identify opportunities for preserving water resources</t>
  </si>
  <si>
    <t>Conduct planning and design reviews for reducing operational water consumption; Research and identify opportunities for reducing potable water use</t>
  </si>
  <si>
    <t>Water consumption records; Operational water reduction strategy documents</t>
  </si>
  <si>
    <t>Conduct planning reviews for reducing construction water consumption; Research and identify opportunities for conserving potable water during construction</t>
  </si>
  <si>
    <t>Develop a plan for advanced integrated monitoring systems; Research and identify opportunities for real-time water monitoring</t>
  </si>
  <si>
    <t>QA:Insufficient Data(No written commitments found in the PDF metadata) | QB:Insufficient Data(No sustainability management policy mentioned in the PDF metadata) | QC:Insufficient Data(No information on periodic revisiting of project sustainability commitments foun) | QD:Insufficient Data(No organizational commitments to sustainability mentioned in the PDF metadata)</t>
  </si>
  <si>
    <t>QA:Insufficient Data(No interdisciplinary collaborative kickoff meeting mentioned in the PDF metadata) | QB:Insufficient Data(No information on enhancement of project sustainability performance through coll) | QC:Insufficient Data(No regular interdisciplinary and collaborative meetings mentioned in the PDF met) | QD:Insufficient Data(No inclusion of construction, operations, or maintenance stakeholders mentioned )</t>
  </si>
  <si>
    <t>QA:Insufficient Data(No stakeholder mapping exercise mentioned in the PDF metadata) | QB:Insufficient Data(No proactive stakeholder engagement process mentioned in the PDF metadata) | QC:Insufficient Data(No lead member of the project team involved with stakeholder groups mentioned in) | QD:Insufficient Data(No incorporation of stakeholder engagement feedback into project plans mentioned) | QE:Insufficient Data(No seeking of feedback from stakeholders on their satisfaction with the engageme) | QF:No(No mention of stakeholder partnership in the PDF metadata)</t>
  </si>
  <si>
    <t>QA:Insufficient Data(No assessment of availability of excess resources or capacity mentioned in the P) | QB:Insufficient Data(No identification of opportunities for byproduct synergies mentioned in the PDF ) | QC:Insufficient Data(No active pursuit of a byproduct synergy mentioned in the PDF metadata) | QD:Insufficient Data(No inclusion of a byproduct synergy in the project mentioned in the PDF metadata) | QE:Insufficient Data(No information on being part of a circular economy mentioned in the PDF metadata)</t>
  </si>
  <si>
    <t>Assess availability of excess resources or capacity; Identify opportunities for byproduct synergies</t>
  </si>
  <si>
    <t>QA:Insufficient Data(No roles and responsibilities for addressing sustainability assigned mentioned i) | QB:Insufficient Data(No sustainability management plan developed mentioned in the PDF metadata) | QC:Insufficient Data(No sufficient processes and management controls to address sustainability goals ) | QD:Insufficient Data(No implementation and periodic revisiting of the sustainability management plan ) | QE:Insufficient Data(No adaptability, flexibility, and resilience of the sustainability management pl)</t>
  </si>
  <si>
    <t>Assign roles and responsibilities for addressing sustainability; Develop a sustainability management plan</t>
  </si>
  <si>
    <t>QA:Insufficient Data(No consideration of sustainability during project selection/identification menti) | QB:Insufficient Data(No alternative analyses conducted on sustainability performance mentioned in the) | QC:Insufficient Data(No assessment of project impacts to broader long-term community or regional sust) | QD:Insufficient Data(No comprehensive sustainable development plan mentioned in the PDF metadata) | QE:Insufficient Data(No addressing of an inherently unsustainable condition within the community or r)</t>
  </si>
  <si>
    <t>QA:Insufficient Data(No consideration of reducing ongoing operational impacts mentioned in the PDF me) | QB:Insufficient Data(No clear and comprehensive plan for long-term monitoring and maintenance mention) | QC:Insufficient Data(No communication of the monitoring and maintenance plan with operations and main) | QD:Insufficient Data(No sufficient resources allocated for long-term monitoring and maintenance menti) | QE:Insufficient Data(No plan to re-evaluate and modify the maintenance plan based on monitored data m)</t>
  </si>
  <si>
    <t>QA:Insufficient Data(No end-of-life plan developed mentioned in the PDF metadata) | QB:Insufficient Data(No evaluation of opportunities to extend the project's useful life or beneficial) | QC:Insufficient Data(No assessment of potential social, environmental, and economic end-of-life impac) | QD:Insufficient Data(No evaluation of the costs and salvage value of the project's deconstruction, de) | QE:Insufficient Data(No proactive engagement of stakeholders in end-of-life planning mentioned in the)</t>
  </si>
  <si>
    <t>QA:Insufficient Data(No creation of a significant number of new jobs during design, construction, and) | QB:Insufficient Data(No provision of new operating capacity for business, industry, or the public men) | QC:Insufficient Data(No additional access, increase in the number of choices, and/or increase in the ) | QD:Insufficient Data(No improvement of community attractiveness for business, industry, or the public) | QE:Insufficient Data(No stimulation of economic prosperity and further economic development mentioned)</t>
  </si>
  <si>
    <t>QA:Insufficient Data(No inclusion of training programs for local skill development mentioned in the P) | QB:Insufficient Data(No identification of skill or capability gaps in the local workforce mentioned i) | QC:Insufficient Data(No continuation of training, education, or skill development programs after proj) | QD:Insufficient Data(No targeting of training and skill development programs to economically depresse)</t>
  </si>
  <si>
    <t>QA:Insufficient Data(No life-cycle cost analysis conducted mentioned in the PDF metadata) | QB:Insufficient Data(No use of life-cycle cost analyses to compare alternatives for at least one majo) | QC:Insufficient Data(No mapping of social, environmental, and financial costs and benefits of the pro) | QD:Insufficient Data(No cost-benefit analysis conducted to identify the financial, social, and enviro) | QE:Insufficient Data(No use of cost-benefit analyses to compare alternatives for at least one major p)</t>
  </si>
  <si>
    <t>QA:Insufficient Data(No sustainable procurement policy or program mentioned in the PDF metadata) | QB:Insufficient Data(No information on the extent of sustainable procurement practices implemented)</t>
  </si>
  <si>
    <t>Develop a sustainable procurement policy or program; Implement sustainable procurement practices</t>
  </si>
  <si>
    <t>Sustainable procurement policy or program document; Evidence of implementation of sustainable procurement practices</t>
  </si>
  <si>
    <t>QA:Insufficient Data(No information on the use of recycled materials)</t>
  </si>
  <si>
    <t>Specify recycled materials in the project design</t>
  </si>
  <si>
    <t>Documentation of recycled material usage</t>
  </si>
  <si>
    <t>QA:Insufficient Data(No waste management plan mentioned in the PDF metadata) | QB:Insufficient Data(No information on the extent of operational waste reduction)</t>
  </si>
  <si>
    <t>Develop a waste management plan; Implement operational waste reduction strategies</t>
  </si>
  <si>
    <t>Waste management plan document; Evidence of operational waste reduction</t>
  </si>
  <si>
    <t>QA:Insufficient Data(No comprehensive waste management plan mentioned in the PDF metadata) | QB:Insufficient Data(No information on the extent of construction waste reduction)</t>
  </si>
  <si>
    <t>Develop a comprehensive waste management plan; Implement construction waste reduction strategies</t>
  </si>
  <si>
    <t>Comprehensive waste management plan document; Evidence of construction waste reduction</t>
  </si>
  <si>
    <t>Earthwork balancing plan document</t>
  </si>
  <si>
    <t>QA:Insufficient Data(No estimated annual energy consumption mentioned in the PDF metadata) | QB:Insufficient Data(No information on the extent of operational energy reduction)</t>
  </si>
  <si>
    <t>Estimate annual energy consumption; Implement operational energy reduction strategies</t>
  </si>
  <si>
    <t>Estimated annual energy consumption document; Evidence of operational energy reduction</t>
  </si>
  <si>
    <t>QA:Insufficient Data(No planning reviews mentioned in the PDF metadata) | QB:Insufficient Data(No information on the extent of construction energy reduction)</t>
  </si>
  <si>
    <t>Conduct planning reviews; Implement construction energy reduction strategies</t>
  </si>
  <si>
    <t>Planning review document; Evidence of construction energy reduction</t>
  </si>
  <si>
    <t>QA:Insufficient Data(No information on the use of renewable energy sources)</t>
  </si>
  <si>
    <t>Specify renewable energy sources in the project design</t>
  </si>
  <si>
    <t>Renewable energy source documentation</t>
  </si>
  <si>
    <t>QA:Insufficient Data(No advanced integrated monitoring systems mentioned in the PDF metadata) | QB:Insufficient Data(No information on commissioning) | QC:Insufficient Data(No plan for ongoing commissioning mentioned in the PDF metadata)</t>
  </si>
  <si>
    <t>Specify advanced integrated monitoring systems; Develop a commissioning plan; Develop an ongoing commissioning plan</t>
  </si>
  <si>
    <t>Advanced integrated monitoring systems documentation; Commissioning plan document; Ongoing commissioning plan document</t>
  </si>
  <si>
    <t>QA:Insufficient Data(No watershed assessment mentioned in the PDF metadata) | QB:Insufficient Data(No estimated water usage and wastewater generation mentioned in the PDF metadata) | QC:Insufficient Data(No features to minimize negative impacts on water resources mentioned in the PDF) | QD:Insufficient Data(No net-zero impact on water quantity and availability mentioned in the PDF metad) | QE:Insufficient Data(No project inclusion in a watershed-level or regional plan mentioned in the PDF ) | QF:Insufficient Data(No direct net-positive improvement to the watershed mentioned in the PDF metadat)</t>
  </si>
  <si>
    <t>Conduct a watershed assessment; Estimate water usage and wastewater generation; Implement features to minimize negative impacts on water resources; Achieve a net-zero impact on water quantity and availability; Include the project in a watershed-level or regional plan; Make a direct net-positive improvement to the watershed</t>
  </si>
  <si>
    <t>Watershed assessment document; Estimated water usage and wastewater generation document; Features to minimize negative impacts on water resources documentation; Net-zero impact on water quantity and availability documentation; Project inclusion in a watershed-level or regional plan document; Direct net-positive improvement to the watershed documentation</t>
  </si>
  <si>
    <t>QA:Insufficient Data(No planning and design reviews mentioned in the PDF metadata) | QB:Insufficient Data(No information on the extent of potable water reduction) | QC:Insufficient Data(No information on the extent of overall water reduction) | QD:Insufficient Data(No net-positive impact on water use mentioned in the PDF metadata)</t>
  </si>
  <si>
    <t>Conduct planning and design reviews; Reduce potable water consumption; Reduce overall water consumption; Achieve a net-positive impact on water use</t>
  </si>
  <si>
    <t>Planning and design reviews document; Potable water reduction documentation; Overall water reduction documentation; Net-positive impact on water use documentation</t>
  </si>
  <si>
    <t>QA:Insufficient Data(No planning reviews mentioned in the PDF metadata) | QB:Insufficient Data(No information on the extent of potable water conservation)</t>
  </si>
  <si>
    <t>Conduct planning reviews; Implement potable water conservation strategies</t>
  </si>
  <si>
    <t>Planning reviews document; Potable water conservation documentation</t>
  </si>
  <si>
    <t>The project consumes water during operation or includes the conveyance of large quantities of water.</t>
  </si>
  <si>
    <t>Specify advanced integrated monitoring systems; Implement real-time water monitoring</t>
  </si>
  <si>
    <t>Advanced integrated monitoring systems documentation; Real-time water monitoring documentation</t>
  </si>
  <si>
    <t>Run-by-Run Field Comparison — RAG &amp; Zero Shot</t>
  </si>
  <si>
    <t>Compares Max Points, Estimated Level, Estimated Points, % Achieved and Justification across the 5 runs of each arm, keyed by Category + Credit ID + Credit Name. 'Consistent?' = Yes when all 5 runs match.</t>
  </si>
  <si>
    <t>RAG — Run-by-Run Comparison (5 runs, 47 credits)</t>
  </si>
  <si>
    <t>Run 1</t>
  </si>
  <si>
    <t>Run 2</t>
  </si>
  <si>
    <t>Run 3</t>
  </si>
  <si>
    <t>Run 4</t>
  </si>
  <si>
    <t>Run 5</t>
  </si>
  <si>
    <t>Consistent?</t>
  </si>
  <si>
    <t>ZERO SHOT — Run-by-Run Comparison (5 runs, 35 credits)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</si>
</sst>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i/>
      <sz val="10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1F3864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9999"/>
      </patternFill>
    </fill>
    <fill>
      <patternFill patternType="solid">
        <fgColor rgb="FFED7D31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8EAADB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medium">
        <color rgb="FF2E75B6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medium">
        <color rgb="FF2E75B6"/>
      </bottom>
      <diagonal/>
    </border>
    <border>
      <left style="medium">
        <color rgb="FF2E75B6"/>
      </left>
      <right style="thin">
        <color rgb="FFD9E1F2"/>
      </right>
      <top style="medium">
        <color rgb="FF2E75B6"/>
      </top>
      <bottom style="thin">
        <color rgb="FFD9E1F2"/>
      </bottom>
      <diagonal/>
    </border>
    <border>
      <left style="medium">
        <color rgb="FF2E75B6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medium">
        <color rgb="FF2E75B6"/>
      </left>
      <right style="thin">
        <color rgb="FFD9E1F2"/>
      </right>
      <top style="thin">
        <color rgb="FFD9E1F2"/>
      </top>
      <bottom style="medium">
        <color rgb="FF2E75B6"/>
      </bottom>
      <diagonal/>
    </border>
    <border>
      <left style="thin">
        <color rgb="FFD9E1F2"/>
      </left>
      <right style="medium">
        <color rgb="FF2E75B6"/>
      </right>
      <top style="medium">
        <color rgb="FF2E75B6"/>
      </top>
      <bottom style="thin">
        <color rgb="FFD9E1F2"/>
      </bottom>
      <diagonal/>
    </border>
    <border>
      <left style="thin">
        <color rgb="FFD9E1F2"/>
      </left>
      <right style="medium">
        <color rgb="FF2E75B6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medium">
        <color rgb="FF2E75B6"/>
      </right>
      <top style="thin">
        <color rgb="FFD9E1F2"/>
      </top>
      <bottom style="medium">
        <color rgb="FF2E75B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1" fontId="0" fillId="3" borderId="0" xfId="0" applyNumberFormat="1" applyFill="1" applyAlignment="1">
      <alignment horizontal="center" vertical="top"/>
    </xf>
    <xf numFmtId="0" fontId="0" fillId="4" borderId="0" xfId="0" applyFill="1" applyAlignment="1">
      <alignment vertical="top"/>
    </xf>
    <xf numFmtId="1" fontId="0" fillId="4" borderId="0" xfId="0" applyNumberFormat="1" applyFill="1" applyAlignment="1">
      <alignment horizontal="center" vertical="top"/>
    </xf>
    <xf numFmtId="164" fontId="0" fillId="4" borderId="0" xfId="0" applyNumberFormat="1" applyFill="1" applyAlignment="1">
      <alignment horizontal="center" vertical="top"/>
    </xf>
    <xf numFmtId="0" fontId="0" fillId="3" borderId="0" xfId="0" applyFill="1" applyAlignment="1">
      <alignment vertical="top" wrapText="1"/>
    </xf>
    <xf numFmtId="3" fontId="0" fillId="3" borderId="0" xfId="0" applyNumberFormat="1" applyFill="1" applyAlignment="1">
      <alignment horizontal="center" vertical="top"/>
    </xf>
    <xf numFmtId="2" fontId="0" fillId="3" borderId="0" xfId="0" applyNumberFormat="1" applyFill="1" applyAlignment="1">
      <alignment horizontal="center" vertical="top"/>
    </xf>
    <xf numFmtId="0" fontId="1" fillId="5" borderId="0" xfId="0" applyFont="1" applyFill="1" applyAlignment="1">
      <alignment horizontal="center" vertical="center" wrapText="1"/>
    </xf>
    <xf numFmtId="0" fontId="0" fillId="8" borderId="2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0" fontId="4" fillId="6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5" fillId="6" borderId="0" xfId="0" applyFont="1" applyFill="1" applyAlignment="1">
      <alignment vertical="top"/>
    </xf>
    <xf numFmtId="0" fontId="6" fillId="10" borderId="0" xfId="0" applyFont="1" applyFill="1" applyAlignment="1">
      <alignment vertical="top"/>
    </xf>
    <xf numFmtId="0" fontId="3" fillId="7" borderId="0" xfId="0" applyFont="1" applyFill="1" applyAlignment="1">
      <alignment horizontal="center" vertical="top" wrapText="1"/>
    </xf>
    <xf numFmtId="0" fontId="0" fillId="8" borderId="4" xfId="0" applyFill="1" applyBorder="1" applyAlignment="1">
      <alignment vertical="top"/>
    </xf>
    <xf numFmtId="0" fontId="0" fillId="8" borderId="2" xfId="0" applyFill="1" applyBorder="1" applyAlignment="1">
      <alignment horizontal="center" vertical="top"/>
    </xf>
    <xf numFmtId="0" fontId="0" fillId="8" borderId="2" xfId="0" applyFill="1" applyBorder="1" applyAlignment="1">
      <alignment vertical="top"/>
    </xf>
    <xf numFmtId="1" fontId="0" fillId="8" borderId="2" xfId="0" applyNumberFormat="1" applyFill="1" applyBorder="1" applyAlignment="1">
      <alignment horizontal="center" vertical="top"/>
    </xf>
    <xf numFmtId="0" fontId="0" fillId="8" borderId="7" xfId="0" applyFill="1" applyBorder="1" applyAlignment="1">
      <alignment horizontal="center" vertical="top"/>
    </xf>
    <xf numFmtId="0" fontId="0" fillId="9" borderId="5" xfId="0" applyFill="1" applyBorder="1" applyAlignment="1">
      <alignment vertical="top"/>
    </xf>
    <xf numFmtId="0" fontId="0" fillId="9" borderId="1" xfId="0" applyFill="1" applyBorder="1" applyAlignment="1">
      <alignment horizontal="center" vertical="top"/>
    </xf>
    <xf numFmtId="0" fontId="0" fillId="9" borderId="1" xfId="0" applyFill="1" applyBorder="1" applyAlignment="1">
      <alignment vertical="top"/>
    </xf>
    <xf numFmtId="1" fontId="0" fillId="9" borderId="1" xfId="0" applyNumberFormat="1" applyFill="1" applyBorder="1" applyAlignment="1">
      <alignment horizontal="center" vertical="top"/>
    </xf>
    <xf numFmtId="0" fontId="0" fillId="9" borderId="8" xfId="0" applyFill="1" applyBorder="1" applyAlignment="1">
      <alignment horizontal="center" vertical="top"/>
    </xf>
    <xf numFmtId="0" fontId="0" fillId="8" borderId="5" xfId="0" applyFill="1" applyBorder="1" applyAlignment="1">
      <alignment vertical="top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 applyAlignment="1">
      <alignment vertical="top"/>
    </xf>
    <xf numFmtId="1" fontId="0" fillId="8" borderId="1" xfId="0" applyNumberFormat="1" applyFill="1" applyBorder="1" applyAlignment="1">
      <alignment horizontal="center" vertical="top"/>
    </xf>
    <xf numFmtId="0" fontId="0" fillId="8" borderId="8" xfId="0" applyFill="1" applyBorder="1" applyAlignment="1">
      <alignment horizontal="center" vertical="top"/>
    </xf>
    <xf numFmtId="0" fontId="0" fillId="8" borderId="6" xfId="0" applyFill="1" applyBorder="1" applyAlignment="1">
      <alignment vertical="top"/>
    </xf>
    <xf numFmtId="0" fontId="0" fillId="8" borderId="3" xfId="0" applyFill="1" applyBorder="1" applyAlignment="1">
      <alignment horizontal="center" vertical="top"/>
    </xf>
    <xf numFmtId="0" fontId="0" fillId="8" borderId="3" xfId="0" applyFill="1" applyBorder="1" applyAlignment="1">
      <alignment vertical="top"/>
    </xf>
    <xf numFmtId="1" fontId="0" fillId="8" borderId="3" xfId="0" applyNumberFormat="1" applyFill="1" applyBorder="1" applyAlignment="1">
      <alignment horizontal="center" vertical="top"/>
    </xf>
    <xf numFmtId="0" fontId="0" fillId="8" borderId="9" xfId="0" applyFill="1" applyBorder="1" applyAlignment="1">
      <alignment horizontal="center" vertical="top"/>
    </xf>
  </cellXfs>
  <cellStyles count="1">
    <cellStyle name="Normal" xfId="0" builtinId="0"/>
  </cellStyles>
  <dxfs count="279"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CE4E4"/>
        </patternFill>
      </fill>
    </dxf>
    <dxf>
      <fill>
        <patternFill patternType="solid">
          <fgColor indexed="64"/>
          <bgColor rgb="FFEEF3FB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6AA84F"/>
        </patternFill>
      </fill>
    </dxf>
    <dxf>
      <font>
        <b/>
        <color rgb="FF1C3F0C"/>
      </font>
      <fill>
        <patternFill patternType="solid">
          <fgColor indexed="64"/>
          <bgColor rgb="FF93C47D"/>
        </patternFill>
      </fill>
    </dxf>
    <dxf>
      <font>
        <b/>
        <color rgb="FF274E13"/>
      </font>
      <fill>
        <patternFill patternType="solid">
          <fgColor indexed="64"/>
          <bgColor rgb="FFB6D7A8"/>
        </patternFill>
      </fill>
    </dxf>
    <dxf>
      <font>
        <b/>
        <color rgb="FF274E13"/>
      </font>
      <fill>
        <patternFill patternType="solid">
          <fgColor indexed="64"/>
          <bgColor rgb="FFD9EAD3"/>
        </patternFill>
      </fill>
    </dxf>
    <dxf>
      <font>
        <b/>
        <color rgb="FF7F6000"/>
      </font>
      <fill>
        <patternFill patternType="solid">
          <fgColor indexed="64"/>
          <bgColor rgb="FFFFF2CC"/>
        </patternFill>
      </fill>
    </dxf>
    <dxf>
      <font>
        <b/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666666"/>
      </font>
      <fill>
        <patternFill patternType="solid">
          <fgColor indexed="64"/>
          <bgColor rgb="FFCCCCCC"/>
        </patternFill>
      </fill>
    </dxf>
    <dxf>
      <font>
        <b/>
      </font>
      <fill>
        <patternFill patternType="solid">
          <fgColor indexed="64"/>
          <bgColor rgb="FFEAD1DC"/>
        </patternFill>
      </fill>
    </dxf>
    <dxf>
      <font>
        <b/>
      </font>
      <fill>
        <patternFill patternType="solid">
          <fgColor indexed="64"/>
          <bgColor rgb="FFFFF2CC"/>
        </patternFill>
      </fill>
    </dxf>
    <dxf>
      <font>
        <b/>
      </font>
      <fill>
        <patternFill patternType="solid">
          <fgColor indexed="64"/>
          <bgColor rgb="FFD9E1F2"/>
        </patternFill>
      </fill>
    </dxf>
    <dxf>
      <font>
        <b/>
      </font>
      <fill>
        <patternFill patternType="solid">
          <fgColor indexed="64"/>
          <bgColor rgb="FFE2EFDA"/>
        </patternFill>
      </fill>
    </dxf>
    <dxf>
      <font>
        <b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DE173D-372F-4AE6-87B8-0EB8ADCE30F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24bde3-9fa8-425e-9c58-e83006262cf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6F04-F0ED-4726-8BCF-9680DED10D3B}">
  <dimension ref="A1:I444"/>
  <sheetViews>
    <sheetView showGridLines="0" tabSelected="1" workbookViewId="0">
      <selection activeCell="F226" sqref="F226"/>
    </sheetView>
  </sheetViews>
  <sheetFormatPr defaultRowHeight="15" x14ac:dyDescent="0.25"/>
  <cols>
    <col min="1" max="1" width="15" style="1" customWidth="1"/>
    <col min="2" max="2" width="9.140625" style="1" bestFit="1" customWidth="1"/>
    <col min="3" max="3" width="44.7109375" style="1" bestFit="1" customWidth="1"/>
    <col min="4" max="4" width="35.42578125" style="1" customWidth="1"/>
    <col min="5" max="5" width="33.140625" style="1" customWidth="1"/>
    <col min="6" max="6" width="54.140625" style="1" customWidth="1"/>
    <col min="7" max="7" width="39.42578125" style="1" customWidth="1"/>
    <col min="8" max="8" width="31.140625" style="1" customWidth="1"/>
    <col min="9" max="9" width="12" style="1" bestFit="1" customWidth="1"/>
    <col min="10" max="16384" width="9.140625" style="1"/>
  </cols>
  <sheetData>
    <row r="1" spans="1:9" ht="19.5" x14ac:dyDescent="0.25">
      <c r="A1" s="17" t="s">
        <v>1065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8" t="s">
        <v>1066</v>
      </c>
      <c r="B2" s="18"/>
      <c r="C2" s="18"/>
      <c r="D2" s="18"/>
      <c r="E2" s="18"/>
      <c r="F2" s="18"/>
      <c r="G2" s="18"/>
      <c r="H2" s="18"/>
      <c r="I2" s="18"/>
    </row>
    <row r="4" spans="1:9" ht="17.25" x14ac:dyDescent="0.25">
      <c r="A4" s="19" t="s">
        <v>1067</v>
      </c>
      <c r="B4" s="19"/>
      <c r="C4" s="19"/>
      <c r="D4" s="19"/>
      <c r="E4" s="19"/>
      <c r="F4" s="19"/>
      <c r="G4" s="19"/>
      <c r="H4" s="19"/>
      <c r="I4" s="19"/>
    </row>
    <row r="5" spans="1:9" x14ac:dyDescent="0.25">
      <c r="A5" s="20" t="s">
        <v>6</v>
      </c>
      <c r="B5" s="20"/>
      <c r="C5" s="20"/>
      <c r="D5" s="20"/>
      <c r="E5" s="20"/>
      <c r="F5" s="20"/>
      <c r="G5" s="20"/>
      <c r="H5" s="20"/>
      <c r="I5" s="20"/>
    </row>
    <row r="6" spans="1:9" ht="15.75" thickBot="1" x14ac:dyDescent="0.3">
      <c r="A6" s="21" t="s">
        <v>3</v>
      </c>
      <c r="B6" s="21" t="s">
        <v>4</v>
      </c>
      <c r="C6" s="21" t="s">
        <v>5</v>
      </c>
      <c r="D6" s="21" t="s">
        <v>1068</v>
      </c>
      <c r="E6" s="21" t="s">
        <v>1069</v>
      </c>
      <c r="F6" s="21" t="s">
        <v>1070</v>
      </c>
      <c r="G6" s="21" t="s">
        <v>1071</v>
      </c>
      <c r="H6" s="21" t="s">
        <v>1072</v>
      </c>
      <c r="I6" s="21" t="s">
        <v>1073</v>
      </c>
    </row>
    <row r="7" spans="1:9" x14ac:dyDescent="0.25">
      <c r="A7" s="22" t="str">
        <f>'RAG Run 1'!D2</f>
        <v>Climate And Resilience</v>
      </c>
      <c r="B7" s="23" t="str">
        <f>'RAG Run 1'!E2</f>
        <v>CR2.1</v>
      </c>
      <c r="C7" s="24" t="str">
        <f>'RAG Run 1'!F2</f>
        <v>Avoid Unsuitable Development</v>
      </c>
      <c r="D7" s="25">
        <f>IF('RAG Run 1'!G2="","",'RAG Run 1'!G2)</f>
        <v>14</v>
      </c>
      <c r="E7" s="25">
        <f>IF('RAG Run 2'!G2="","",'RAG Run 2'!G2)</f>
        <v>14</v>
      </c>
      <c r="F7" s="25">
        <f>IF('RAG Run 3'!G2="","",'RAG Run 3'!G2)</f>
        <v>14</v>
      </c>
      <c r="G7" s="25">
        <f>IF('RAG Run 4'!G2="","",'RAG Run 4'!G2)</f>
        <v>14</v>
      </c>
      <c r="H7" s="25">
        <f>IF('RAG Run 5'!G2="","",'RAG Run 5'!G2)</f>
        <v>14</v>
      </c>
      <c r="I7" s="26" t="str">
        <f>IF(AND(D7=E7,E7=F7,F7=G7,G7=H7),"Yes","No")</f>
        <v>Yes</v>
      </c>
    </row>
    <row r="8" spans="1:9" x14ac:dyDescent="0.25">
      <c r="A8" s="27" t="str">
        <f>'RAG Run 1'!D3</f>
        <v>Climate And Resilience</v>
      </c>
      <c r="B8" s="28" t="str">
        <f>'RAG Run 1'!E3</f>
        <v>CR2.2</v>
      </c>
      <c r="C8" s="29" t="str">
        <f>'RAG Run 1'!F3</f>
        <v>Assess Climate Change Vulnerability</v>
      </c>
      <c r="D8" s="30">
        <f>IF('RAG Run 1'!G3="","",'RAG Run 1'!G3)</f>
        <v>20</v>
      </c>
      <c r="E8" s="30">
        <f>IF('RAG Run 2'!G3="","",'RAG Run 2'!G3)</f>
        <v>20</v>
      </c>
      <c r="F8" s="30">
        <f>IF('RAG Run 3'!G3="","",'RAG Run 3'!G3)</f>
        <v>20</v>
      </c>
      <c r="G8" s="30">
        <f>IF('RAG Run 4'!G3="","",'RAG Run 4'!G3)</f>
        <v>20</v>
      </c>
      <c r="H8" s="30">
        <f>IF('RAG Run 5'!G3="","",'RAG Run 5'!G3)</f>
        <v>20</v>
      </c>
      <c r="I8" s="31" t="str">
        <f>IF(AND(D8=E8,E8=F8,F8=G8,G8=H8),"Yes","No")</f>
        <v>Yes</v>
      </c>
    </row>
    <row r="9" spans="1:9" x14ac:dyDescent="0.25">
      <c r="A9" s="32" t="str">
        <f>'RAG Run 1'!D4</f>
        <v>Climate And Resilience</v>
      </c>
      <c r="B9" s="33" t="str">
        <f>'RAG Run 1'!E4</f>
        <v>CR2.3</v>
      </c>
      <c r="C9" s="34" t="str">
        <f>'RAG Run 1'!F4</f>
        <v>Evaluate Risk and Resilience</v>
      </c>
      <c r="D9" s="35">
        <f>IF('RAG Run 1'!G4="","",'RAG Run 1'!G4)</f>
        <v>26</v>
      </c>
      <c r="E9" s="35">
        <f>IF('RAG Run 2'!G4="","",'RAG Run 2'!G4)</f>
        <v>26</v>
      </c>
      <c r="F9" s="35">
        <f>IF('RAG Run 3'!G4="","",'RAG Run 3'!G4)</f>
        <v>26</v>
      </c>
      <c r="G9" s="35">
        <f>IF('RAG Run 4'!G4="","",'RAG Run 4'!G4)</f>
        <v>26</v>
      </c>
      <c r="H9" s="35">
        <f>IF('RAG Run 5'!G4="","",'RAG Run 5'!G4)</f>
        <v>26</v>
      </c>
      <c r="I9" s="36" t="str">
        <f>IF(AND(D9=E9,E9=F9,F9=G9,G9=H9),"Yes","No")</f>
        <v>Yes</v>
      </c>
    </row>
    <row r="10" spans="1:9" x14ac:dyDescent="0.25">
      <c r="A10" s="27" t="str">
        <f>'RAG Run 1'!D5</f>
        <v>Climate And Resilience</v>
      </c>
      <c r="B10" s="28" t="str">
        <f>'RAG Run 1'!E5</f>
        <v>CR2.4</v>
      </c>
      <c r="C10" s="29" t="str">
        <f>'RAG Run 1'!F5</f>
        <v>Establish Resilience Goals and Strategies</v>
      </c>
      <c r="D10" s="30">
        <f>IF('RAG Run 1'!G5="","",'RAG Run 1'!G5)</f>
        <v>20</v>
      </c>
      <c r="E10" s="30">
        <f>IF('RAG Run 2'!G5="","",'RAG Run 2'!G5)</f>
        <v>20</v>
      </c>
      <c r="F10" s="30">
        <f>IF('RAG Run 3'!G5="","",'RAG Run 3'!G5)</f>
        <v>20</v>
      </c>
      <c r="G10" s="30">
        <f>IF('RAG Run 4'!G5="","",'RAG Run 4'!G5)</f>
        <v>20</v>
      </c>
      <c r="H10" s="30">
        <f>IF('RAG Run 5'!G5="","",'RAG Run 5'!G5)</f>
        <v>20</v>
      </c>
      <c r="I10" s="31" t="str">
        <f>IF(AND(D10=E10,E10=F10,F10=G10,G10=H10),"Yes","No")</f>
        <v>Yes</v>
      </c>
    </row>
    <row r="11" spans="1:9" x14ac:dyDescent="0.25">
      <c r="A11" s="32" t="str">
        <f>'RAG Run 1'!D6</f>
        <v>Climate And Resilience</v>
      </c>
      <c r="B11" s="33" t="str">
        <f>'RAG Run 1'!E6</f>
        <v>CR2.5</v>
      </c>
      <c r="C11" s="34" t="str">
        <f>'RAG Run 1'!F6</f>
        <v>Maximize Resilience</v>
      </c>
      <c r="D11" s="35">
        <f>IF('RAG Run 1'!G6="","",'RAG Run 1'!G6)</f>
        <v>26</v>
      </c>
      <c r="E11" s="35">
        <f>IF('RAG Run 2'!G6="","",'RAG Run 2'!G6)</f>
        <v>26</v>
      </c>
      <c r="F11" s="35">
        <f>IF('RAG Run 3'!G6="","",'RAG Run 3'!G6)</f>
        <v>26</v>
      </c>
      <c r="G11" s="35">
        <f>IF('RAG Run 4'!G6="","",'RAG Run 4'!G6)</f>
        <v>26</v>
      </c>
      <c r="H11" s="35">
        <f>IF('RAG Run 5'!G6="","",'RAG Run 5'!G6)</f>
        <v>26</v>
      </c>
      <c r="I11" s="36" t="str">
        <f>IF(AND(D11=E11,E11=F11,F11=G11,G11=H11),"Yes","No")</f>
        <v>Yes</v>
      </c>
    </row>
    <row r="12" spans="1:9" x14ac:dyDescent="0.25">
      <c r="A12" s="27" t="str">
        <f>'RAG Run 1'!D7</f>
        <v>Climate And Resilience</v>
      </c>
      <c r="B12" s="28" t="str">
        <f>'RAG Run 1'!E7</f>
        <v>CR2.6</v>
      </c>
      <c r="C12" s="29" t="str">
        <f>'RAG Run 1'!F7</f>
        <v>Improve Infrastructure Integration</v>
      </c>
      <c r="D12" s="30">
        <f>IF('RAG Run 1'!G7="","",'RAG Run 1'!G7)</f>
        <v>18</v>
      </c>
      <c r="E12" s="30">
        <f>IF('RAG Run 2'!G7="","",'RAG Run 2'!G7)</f>
        <v>18</v>
      </c>
      <c r="F12" s="30">
        <f>IF('RAG Run 3'!G7="","",'RAG Run 3'!G7)</f>
        <v>18</v>
      </c>
      <c r="G12" s="30">
        <f>IF('RAG Run 4'!G7="","",'RAG Run 4'!G7)</f>
        <v>18</v>
      </c>
      <c r="H12" s="30">
        <f>IF('RAG Run 5'!G7="","",'RAG Run 5'!G7)</f>
        <v>18</v>
      </c>
      <c r="I12" s="31" t="str">
        <f>IF(AND(D12=E12,E12=F12,F12=G12,G12=H12),"Yes","No")</f>
        <v>Yes</v>
      </c>
    </row>
    <row r="13" spans="1:9" x14ac:dyDescent="0.25">
      <c r="A13" s="32" t="str">
        <f>'RAG Run 1'!D8</f>
        <v>Leadership</v>
      </c>
      <c r="B13" s="33" t="str">
        <f>'RAG Run 1'!E8</f>
        <v>LD1.1</v>
      </c>
      <c r="C13" s="34" t="str">
        <f>'RAG Run 1'!F8</f>
        <v>Provide Effective Leadership and Commitment</v>
      </c>
      <c r="D13" s="35">
        <f>IF('RAG Run 1'!G8="","",'RAG Run 1'!G8)</f>
        <v>10</v>
      </c>
      <c r="E13" s="35">
        <f>IF('RAG Run 2'!G8="","",'RAG Run 2'!G8)</f>
        <v>10</v>
      </c>
      <c r="F13" s="35">
        <f>IF('RAG Run 3'!G8="","",'RAG Run 3'!G8)</f>
        <v>10</v>
      </c>
      <c r="G13" s="35">
        <f>IF('RAG Run 4'!G8="","",'RAG Run 4'!G8)</f>
        <v>10</v>
      </c>
      <c r="H13" s="35">
        <f>IF('RAG Run 5'!G8="","",'RAG Run 5'!G8)</f>
        <v>10</v>
      </c>
      <c r="I13" s="36" t="str">
        <f>IF(AND(D13=E13,E13=F13,F13=G13,G13=H13),"Yes","No")</f>
        <v>Yes</v>
      </c>
    </row>
    <row r="14" spans="1:9" x14ac:dyDescent="0.25">
      <c r="A14" s="27" t="str">
        <f>'RAG Run 1'!D9</f>
        <v>Leadership</v>
      </c>
      <c r="B14" s="28" t="str">
        <f>'RAG Run 1'!E9</f>
        <v>LD1.2</v>
      </c>
      <c r="C14" s="29" t="str">
        <f>'RAG Run 1'!F9</f>
        <v>Foster Collaboration and Teamwork</v>
      </c>
      <c r="D14" s="30">
        <f>IF('RAG Run 1'!G9="","",'RAG Run 1'!G9)</f>
        <v>8</v>
      </c>
      <c r="E14" s="30">
        <f>IF('RAG Run 2'!G9="","",'RAG Run 2'!G9)</f>
        <v>8</v>
      </c>
      <c r="F14" s="30">
        <f>IF('RAG Run 3'!G9="","",'RAG Run 3'!G9)</f>
        <v>8</v>
      </c>
      <c r="G14" s="30">
        <f>IF('RAG Run 4'!G9="","",'RAG Run 4'!G9)</f>
        <v>8</v>
      </c>
      <c r="H14" s="30">
        <f>IF('RAG Run 5'!G9="","",'RAG Run 5'!G9)</f>
        <v>8</v>
      </c>
      <c r="I14" s="31" t="str">
        <f>IF(AND(D14=E14,E14=F14,F14=G14,G14=H14),"Yes","No")</f>
        <v>Yes</v>
      </c>
    </row>
    <row r="15" spans="1:9" x14ac:dyDescent="0.25">
      <c r="A15" s="32" t="str">
        <f>'RAG Run 1'!D10</f>
        <v>Leadership</v>
      </c>
      <c r="B15" s="33" t="str">
        <f>'RAG Run 1'!E10</f>
        <v>LD1.3</v>
      </c>
      <c r="C15" s="34" t="str">
        <f>'RAG Run 1'!F10</f>
        <v>Encourage Public Engagement and Participation</v>
      </c>
      <c r="D15" s="35">
        <f>IF('RAG Run 1'!G10="","",'RAG Run 1'!G10)</f>
        <v>8</v>
      </c>
      <c r="E15" s="35">
        <f>IF('RAG Run 2'!G10="","",'RAG Run 2'!G10)</f>
        <v>8</v>
      </c>
      <c r="F15" s="35">
        <f>IF('RAG Run 3'!G10="","",'RAG Run 3'!G10)</f>
        <v>8</v>
      </c>
      <c r="G15" s="35">
        <f>IF('RAG Run 4'!G10="","",'RAG Run 4'!G10)</f>
        <v>8</v>
      </c>
      <c r="H15" s="35">
        <f>IF('RAG Run 5'!G10="","",'RAG Run 5'!G10)</f>
        <v>8</v>
      </c>
      <c r="I15" s="36" t="str">
        <f>IF(AND(D15=E15,E15=F15,F15=G15,G15=H15),"Yes","No")</f>
        <v>Yes</v>
      </c>
    </row>
    <row r="16" spans="1:9" x14ac:dyDescent="0.25">
      <c r="A16" s="27" t="str">
        <f>'RAG Run 1'!D11</f>
        <v>Leadership</v>
      </c>
      <c r="B16" s="28" t="str">
        <f>'RAG Run 1'!E11</f>
        <v>LD1.4</v>
      </c>
      <c r="C16" s="29" t="str">
        <f>'RAG Run 1'!F11</f>
        <v>Pursue Byproduct Synergies</v>
      </c>
      <c r="D16" s="30">
        <f>IF('RAG Run 1'!G11="","",'RAG Run 1'!G11)</f>
        <v>10</v>
      </c>
      <c r="E16" s="30">
        <f>IF('RAG Run 2'!G11="","",'RAG Run 2'!G11)</f>
        <v>10</v>
      </c>
      <c r="F16" s="30">
        <f>IF('RAG Run 3'!G11="","",'RAG Run 3'!G11)</f>
        <v>10</v>
      </c>
      <c r="G16" s="30">
        <f>IF('RAG Run 4'!G11="","",'RAG Run 4'!G11)</f>
        <v>10</v>
      </c>
      <c r="H16" s="30">
        <f>IF('RAG Run 5'!G11="","",'RAG Run 5'!G11)</f>
        <v>10</v>
      </c>
      <c r="I16" s="31" t="str">
        <f>IF(AND(D16=E16,E16=F16,F16=G16,G16=H16),"Yes","No")</f>
        <v>Yes</v>
      </c>
    </row>
    <row r="17" spans="1:9" x14ac:dyDescent="0.25">
      <c r="A17" s="32" t="str">
        <f>'RAG Run 1'!D12</f>
        <v>Leadership</v>
      </c>
      <c r="B17" s="33" t="str">
        <f>'RAG Run 1'!E12</f>
        <v>LD2.1</v>
      </c>
      <c r="C17" s="34" t="str">
        <f>'RAG Run 1'!F12</f>
        <v>Establish a Sustainability Management Plan</v>
      </c>
      <c r="D17" s="35">
        <f>IF('RAG Run 1'!G12="","",'RAG Run 1'!G12)</f>
        <v>12</v>
      </c>
      <c r="E17" s="35">
        <f>IF('RAG Run 2'!G12="","",'RAG Run 2'!G12)</f>
        <v>12</v>
      </c>
      <c r="F17" s="35">
        <f>IF('RAG Run 3'!G12="","",'RAG Run 3'!G12)</f>
        <v>12</v>
      </c>
      <c r="G17" s="35">
        <f>IF('RAG Run 4'!G12="","",'RAG Run 4'!G12)</f>
        <v>12</v>
      </c>
      <c r="H17" s="35">
        <f>IF('RAG Run 5'!G12="","",'RAG Run 5'!G12)</f>
        <v>14</v>
      </c>
      <c r="I17" s="36" t="str">
        <f>IF(AND(D17=E17,E17=F17,F17=G17,G17=H17),"Yes","No")</f>
        <v>No</v>
      </c>
    </row>
    <row r="18" spans="1:9" x14ac:dyDescent="0.25">
      <c r="A18" s="27" t="str">
        <f>'RAG Run 1'!D13</f>
        <v>Leadership</v>
      </c>
      <c r="B18" s="28" t="str">
        <f>'RAG Run 1'!E13</f>
        <v>LD2.2</v>
      </c>
      <c r="C18" s="29" t="str">
        <f>'RAG Run 1'!F13</f>
        <v>Plan for Sustainable Communities</v>
      </c>
      <c r="D18" s="30">
        <f>IF('RAG Run 1'!G13="","",'RAG Run 1'!G13)</f>
        <v>10</v>
      </c>
      <c r="E18" s="30">
        <f>IF('RAG Run 2'!G13="","",'RAG Run 2'!G13)</f>
        <v>10</v>
      </c>
      <c r="F18" s="30">
        <f>IF('RAG Run 3'!G13="","",'RAG Run 3'!G13)</f>
        <v>10</v>
      </c>
      <c r="G18" s="30">
        <f>IF('RAG Run 4'!G13="","",'RAG Run 4'!G13)</f>
        <v>10</v>
      </c>
      <c r="H18" s="30">
        <f>IF('RAG Run 5'!G13="","",'RAG Run 5'!G13)</f>
        <v>12</v>
      </c>
      <c r="I18" s="31" t="str">
        <f>IF(AND(D18=E18,E18=F18,F18=G18,G18=H18),"Yes","No")</f>
        <v>No</v>
      </c>
    </row>
    <row r="19" spans="1:9" x14ac:dyDescent="0.25">
      <c r="A19" s="32" t="str">
        <f>'RAG Run 1'!D14</f>
        <v>Leadership</v>
      </c>
      <c r="B19" s="33" t="str">
        <f>'RAG Run 1'!E14</f>
        <v>LD2.3</v>
      </c>
      <c r="C19" s="34" t="str">
        <f>'RAG Run 1'!F14</f>
        <v>Conduct a Life-Cycle Economic Evaluation</v>
      </c>
      <c r="D19" s="35">
        <f>IF('RAG Run 1'!G14="","",'RAG Run 1'!G14)</f>
        <v>12</v>
      </c>
      <c r="E19" s="35">
        <f>IF('RAG Run 2'!G14="","",'RAG Run 2'!G14)</f>
        <v>12</v>
      </c>
      <c r="F19" s="35">
        <f>IF('RAG Run 3'!G14="","",'RAG Run 3'!G14)</f>
        <v>8</v>
      </c>
      <c r="G19" s="35">
        <f>IF('RAG Run 4'!G14="","",'RAG Run 4'!G14)</f>
        <v>12</v>
      </c>
      <c r="H19" s="35">
        <f>IF('RAG Run 5'!G14="","",'RAG Run 5'!G14)</f>
        <v>10</v>
      </c>
      <c r="I19" s="36" t="str">
        <f>IF(AND(D19=E19,E19=F19,F19=G19,G19=H19),"Yes","No")</f>
        <v>No</v>
      </c>
    </row>
    <row r="20" spans="1:9" x14ac:dyDescent="0.25">
      <c r="A20" s="27" t="str">
        <f>'RAG Run 1'!D15</f>
        <v>Leadership</v>
      </c>
      <c r="B20" s="28" t="str">
        <f>'RAG Run 1'!E15</f>
        <v>LD3.1</v>
      </c>
      <c r="C20" s="29" t="str">
        <f>'RAG Run 1'!F15</f>
        <v>Develop a Construction Management Plan</v>
      </c>
      <c r="D20" s="30">
        <f>IF('RAG Run 1'!G15="","",'RAG Run 1'!G15)</f>
        <v>10</v>
      </c>
      <c r="E20" s="30">
        <f>IF('RAG Run 2'!G15="","",'RAG Run 2'!G15)</f>
        <v>10</v>
      </c>
      <c r="F20" s="30">
        <f>IF('RAG Run 3'!G15="","",'RAG Run 3'!G15)</f>
        <v>12</v>
      </c>
      <c r="G20" s="30">
        <f>IF('RAG Run 4'!G15="","",'RAG Run 4'!G15)</f>
        <v>10</v>
      </c>
      <c r="H20" s="30">
        <f>IF('RAG Run 5'!G15="","",'RAG Run 5'!G15)</f>
        <v>8</v>
      </c>
      <c r="I20" s="31" t="str">
        <f>IF(AND(D20=E20,E20=F20,F20=G20,G20=H20),"Yes","No")</f>
        <v>No</v>
      </c>
    </row>
    <row r="21" spans="1:9" x14ac:dyDescent="0.25">
      <c r="A21" s="32" t="str">
        <f>'RAG Run 1'!D16</f>
        <v>Leadership</v>
      </c>
      <c r="B21" s="33" t="str">
        <f>'RAG Run 1'!E16</f>
        <v>LD3.2</v>
      </c>
      <c r="C21" s="34" t="str">
        <f>'RAG Run 1'!F16</f>
        <v>Implement a Quality Control and Assurance Plan</v>
      </c>
      <c r="D21" s="35">
        <f>IF('RAG Run 1'!G16="","",'RAG Run 1'!G16)</f>
        <v>8</v>
      </c>
      <c r="E21" s="35">
        <f>IF('RAG Run 2'!G16="","",'RAG Run 2'!G16)</f>
        <v>8</v>
      </c>
      <c r="F21" s="35">
        <f>IF('RAG Run 3'!G16="","",'RAG Run 3'!G16)</f>
        <v>10</v>
      </c>
      <c r="G21" s="35">
        <f>IF('RAG Run 4'!G16="","",'RAG Run 4'!G16)</f>
        <v>8</v>
      </c>
      <c r="H21" s="35">
        <f>IF('RAG Run 5'!G16="","",'RAG Run 5'!G16)</f>
        <v>8</v>
      </c>
      <c r="I21" s="36" t="str">
        <f>IF(AND(D21=E21,E21=F21,F21=G21,G21=H21),"Yes","No")</f>
        <v>No</v>
      </c>
    </row>
    <row r="22" spans="1:9" x14ac:dyDescent="0.25">
      <c r="A22" s="27" t="str">
        <f>'RAG Run 1'!D17</f>
        <v>Leadership</v>
      </c>
      <c r="B22" s="28" t="str">
        <f>'RAG Run 1'!E17</f>
        <v>LD3.3</v>
      </c>
      <c r="C22" s="29" t="str">
        <f>'RAG Run 1'!F17</f>
        <v>Conduct a Life-Cycle Assessment</v>
      </c>
      <c r="D22" s="30">
        <f>IF('RAG Run 1'!G17="","",'RAG Run 1'!G17)</f>
        <v>12</v>
      </c>
      <c r="E22" s="30">
        <f>IF('RAG Run 2'!G17="","",'RAG Run 2'!G17)</f>
        <v>12</v>
      </c>
      <c r="F22" s="30">
        <f>IF('RAG Run 3'!G17="","",'RAG Run 3'!G17)</f>
        <v>12</v>
      </c>
      <c r="G22" s="30">
        <f>IF('RAG Run 4'!G17="","",'RAG Run 4'!G17)</f>
        <v>12</v>
      </c>
      <c r="H22" s="30">
        <f>IF('RAG Run 5'!G17="","",'RAG Run 5'!G17)</f>
        <v>12</v>
      </c>
      <c r="I22" s="31" t="str">
        <f>IF(AND(D22=E22,E22=F22,F22=G22,G22=H22),"Yes","No")</f>
        <v>Yes</v>
      </c>
    </row>
    <row r="23" spans="1:9" x14ac:dyDescent="0.25">
      <c r="A23" s="32" t="str">
        <f>'RAG Run 1'!D18</f>
        <v>Natural World</v>
      </c>
      <c r="B23" s="33" t="str">
        <f>'RAG Run 1'!E18</f>
        <v>NW1.1</v>
      </c>
      <c r="C23" s="34" t="str">
        <f>'RAG Run 1'!F18</f>
        <v>Conserve Natural Areas</v>
      </c>
      <c r="D23" s="35">
        <f>IF('RAG Run 1'!G18="","",'RAG Run 1'!G18)</f>
        <v>14</v>
      </c>
      <c r="E23" s="35">
        <f>IF('RAG Run 2'!G18="","",'RAG Run 2'!G18)</f>
        <v>14</v>
      </c>
      <c r="F23" s="35">
        <f>IF('RAG Run 3'!G18="","",'RAG Run 3'!G18)</f>
        <v>14</v>
      </c>
      <c r="G23" s="35">
        <f>IF('RAG Run 4'!G18="","",'RAG Run 4'!G18)</f>
        <v>14</v>
      </c>
      <c r="H23" s="35">
        <f>IF('RAG Run 5'!G18="","",'RAG Run 5'!G18)</f>
        <v>14</v>
      </c>
      <c r="I23" s="36" t="str">
        <f>IF(AND(D23=E23,E23=F23,F23=G23,G23=H23),"Yes","No")</f>
        <v>Yes</v>
      </c>
    </row>
    <row r="24" spans="1:9" x14ac:dyDescent="0.25">
      <c r="A24" s="27" t="str">
        <f>'RAG Run 1'!D19</f>
        <v>Natural World</v>
      </c>
      <c r="B24" s="28" t="str">
        <f>'RAG Run 1'!E19</f>
        <v>NW1.2</v>
      </c>
      <c r="C24" s="29" t="str">
        <f>'RAG Run 1'!F19</f>
        <v>Provide Wetland and Surface Water Buffers</v>
      </c>
      <c r="D24" s="30">
        <f>IF('RAG Run 1'!G19="","",'RAG Run 1'!G19)</f>
        <v>10</v>
      </c>
      <c r="E24" s="30">
        <f>IF('RAG Run 2'!G19="","",'RAG Run 2'!G19)</f>
        <v>10</v>
      </c>
      <c r="F24" s="30">
        <f>IF('RAG Run 3'!G19="","",'RAG Run 3'!G19)</f>
        <v>10</v>
      </c>
      <c r="G24" s="30">
        <f>IF('RAG Run 4'!G19="","",'RAG Run 4'!G19)</f>
        <v>10</v>
      </c>
      <c r="H24" s="30">
        <f>IF('RAG Run 5'!G19="","",'RAG Run 5'!G19)</f>
        <v>10</v>
      </c>
      <c r="I24" s="31" t="str">
        <f>IF(AND(D24=E24,E24=F24,F24=G24,G24=H24),"Yes","No")</f>
        <v>Yes</v>
      </c>
    </row>
    <row r="25" spans="1:9" x14ac:dyDescent="0.25">
      <c r="A25" s="32" t="str">
        <f>'RAG Run 1'!D20</f>
        <v>Natural World</v>
      </c>
      <c r="B25" s="33" t="str">
        <f>'RAG Run 1'!E20</f>
        <v>NW2.2</v>
      </c>
      <c r="C25" s="34" t="str">
        <f>'RAG Run 1'!F20</f>
        <v>Manage Stormwater</v>
      </c>
      <c r="D25" s="35">
        <f>IF('RAG Run 1'!G20="","",'RAG Run 1'!G20)</f>
        <v>24</v>
      </c>
      <c r="E25" s="35">
        <f>IF('RAG Run 2'!G20="","",'RAG Run 2'!G20)</f>
        <v>24</v>
      </c>
      <c r="F25" s="35">
        <f>IF('RAG Run 3'!G20="","",'RAG Run 3'!G20)</f>
        <v>24</v>
      </c>
      <c r="G25" s="35">
        <f>IF('RAG Run 4'!G20="","",'RAG Run 4'!G20)</f>
        <v>24</v>
      </c>
      <c r="H25" s="35">
        <f>IF('RAG Run 5'!G20="","",'RAG Run 5'!G20)</f>
        <v>24</v>
      </c>
      <c r="I25" s="36" t="str">
        <f>IF(AND(D25=E25,E25=F25,F25=G25,G25=H25),"Yes","No")</f>
        <v>Yes</v>
      </c>
    </row>
    <row r="26" spans="1:9" x14ac:dyDescent="0.25">
      <c r="A26" s="27" t="str">
        <f>'RAG Run 1'!D21</f>
        <v>Natural World</v>
      </c>
      <c r="B26" s="28" t="str">
        <f>'RAG Run 1'!E21</f>
        <v>NW2.4</v>
      </c>
      <c r="C26" s="29" t="str">
        <f>'RAG Run 1'!F21</f>
        <v>Protect Surface and Groundwater Quality</v>
      </c>
      <c r="D26" s="30">
        <f>IF('RAG Run 1'!G21="","",'RAG Run 1'!G21)</f>
        <v>14</v>
      </c>
      <c r="E26" s="30">
        <f>IF('RAG Run 2'!G21="","",'RAG Run 2'!G21)</f>
        <v>14</v>
      </c>
      <c r="F26" s="30">
        <f>IF('RAG Run 3'!G21="","",'RAG Run 3'!G21)</f>
        <v>14</v>
      </c>
      <c r="G26" s="30">
        <f>IF('RAG Run 4'!G21="","",'RAG Run 4'!G21)</f>
        <v>14</v>
      </c>
      <c r="H26" s="30">
        <f>IF('RAG Run 5'!G21="","",'RAG Run 5'!G21)</f>
        <v>14</v>
      </c>
      <c r="I26" s="31" t="str">
        <f>IF(AND(D26=E26,E26=F26,F26=G26,G26=H26),"Yes","No")</f>
        <v>Yes</v>
      </c>
    </row>
    <row r="27" spans="1:9" x14ac:dyDescent="0.25">
      <c r="A27" s="32" t="str">
        <f>'RAG Run 1'!D22</f>
        <v>Natural World</v>
      </c>
      <c r="B27" s="33" t="str">
        <f>'RAG Run 1'!E22</f>
        <v>NW3.3</v>
      </c>
      <c r="C27" s="34" t="str">
        <f>'RAG Run 1'!F22</f>
        <v>Maintain Floodplain Functions</v>
      </c>
      <c r="D27" s="35">
        <f>IF('RAG Run 1'!G22="","",'RAG Run 1'!G22)</f>
        <v>14</v>
      </c>
      <c r="E27" s="35">
        <f>IF('RAG Run 2'!G22="","",'RAG Run 2'!G22)</f>
        <v>14</v>
      </c>
      <c r="F27" s="35">
        <f>IF('RAG Run 3'!G22="","",'RAG Run 3'!G22)</f>
        <v>14</v>
      </c>
      <c r="G27" s="35">
        <f>IF('RAG Run 4'!G22="","",'RAG Run 4'!G22)</f>
        <v>14</v>
      </c>
      <c r="H27" s="35">
        <f>IF('RAG Run 5'!G22="","",'RAG Run 5'!G22)</f>
        <v>14</v>
      </c>
      <c r="I27" s="36" t="str">
        <f>IF(AND(D27=E27,E27=F27,F27=G27,G27=H27),"Yes","No")</f>
        <v>Yes</v>
      </c>
    </row>
    <row r="28" spans="1:9" x14ac:dyDescent="0.25">
      <c r="A28" s="27" t="str">
        <f>'RAG Run 1'!D23</f>
        <v>Natural World</v>
      </c>
      <c r="B28" s="28" t="str">
        <f>'RAG Run 1'!E23</f>
        <v>NW3.5</v>
      </c>
      <c r="C28" s="29" t="str">
        <f>'RAG Run 1'!F23</f>
        <v>Protect Soil Health</v>
      </c>
      <c r="D28" s="30">
        <f>IF('RAG Run 1'!G23="","",'RAG Run 1'!G23)</f>
        <v>10</v>
      </c>
      <c r="E28" s="30">
        <f>IF('RAG Run 2'!G23="","",'RAG Run 2'!G23)</f>
        <v>10</v>
      </c>
      <c r="F28" s="30">
        <f>IF('RAG Run 3'!G23="","",'RAG Run 3'!G23)</f>
        <v>10</v>
      </c>
      <c r="G28" s="30">
        <f>IF('RAG Run 4'!G23="","",'RAG Run 4'!G23)</f>
        <v>10</v>
      </c>
      <c r="H28" s="30">
        <f>IF('RAG Run 5'!G23="","",'RAG Run 5'!G23)</f>
        <v>10</v>
      </c>
      <c r="I28" s="31" t="str">
        <f>IF(AND(D28=E28,E28=F28,F28=G28,G28=H28),"Yes","No")</f>
        <v>Yes</v>
      </c>
    </row>
    <row r="29" spans="1:9" x14ac:dyDescent="0.25">
      <c r="A29" s="32" t="str">
        <f>'RAG Run 1'!D24</f>
        <v>Quality Of Life</v>
      </c>
      <c r="B29" s="33" t="str">
        <f>'RAG Run 1'!E24</f>
        <v>QL1.1</v>
      </c>
      <c r="C29" s="34" t="str">
        <f>'RAG Run 1'!F24</f>
        <v>Improve Community Quality of Life</v>
      </c>
      <c r="D29" s="35">
        <f>IF('RAG Run 1'!G24="","",'RAG Run 1'!G24)</f>
        <v>26</v>
      </c>
      <c r="E29" s="35">
        <f>IF('RAG Run 2'!G24="","",'RAG Run 2'!G24)</f>
        <v>26</v>
      </c>
      <c r="F29" s="35">
        <f>IF('RAG Run 3'!G24="","",'RAG Run 3'!G24)</f>
        <v>26</v>
      </c>
      <c r="G29" s="35">
        <f>IF('RAG Run 4'!G24="","",'RAG Run 4'!G24)</f>
        <v>26</v>
      </c>
      <c r="H29" s="35">
        <f>IF('RAG Run 5'!G24="","",'RAG Run 5'!G24)</f>
        <v>26</v>
      </c>
      <c r="I29" s="36" t="str">
        <f>IF(AND(D29=E29,E29=F29,F29=G29,G29=H29),"Yes","No")</f>
        <v>Yes</v>
      </c>
    </row>
    <row r="30" spans="1:9" x14ac:dyDescent="0.25">
      <c r="A30" s="27" t="str">
        <f>'RAG Run 1'!D25</f>
        <v>Quality Of Life</v>
      </c>
      <c r="B30" s="28" t="str">
        <f>'RAG Run 1'!E25</f>
        <v>QL1.2</v>
      </c>
      <c r="C30" s="29" t="str">
        <f>'RAG Run 1'!F25</f>
        <v>Enhance Public Health &amp; Safety</v>
      </c>
      <c r="D30" s="30">
        <f>IF('RAG Run 1'!G25="","",'RAG Run 1'!G25)</f>
        <v>20</v>
      </c>
      <c r="E30" s="30">
        <f>IF('RAG Run 2'!G25="","",'RAG Run 2'!G25)</f>
        <v>20</v>
      </c>
      <c r="F30" s="30">
        <f>IF('RAG Run 3'!G25="","",'RAG Run 3'!G25)</f>
        <v>20</v>
      </c>
      <c r="G30" s="30">
        <f>IF('RAG Run 4'!G25="","",'RAG Run 4'!G25)</f>
        <v>20</v>
      </c>
      <c r="H30" s="30">
        <f>IF('RAG Run 5'!G25="","",'RAG Run 5'!G25)</f>
        <v>20</v>
      </c>
      <c r="I30" s="31" t="str">
        <f>IF(AND(D30=E30,E30=F30,F30=G30,G30=H30),"Yes","No")</f>
        <v>Yes</v>
      </c>
    </row>
    <row r="31" spans="1:9" x14ac:dyDescent="0.25">
      <c r="A31" s="32" t="str">
        <f>'RAG Run 1'!D26</f>
        <v>Quality Of Life</v>
      </c>
      <c r="B31" s="33" t="str">
        <f>'RAG Run 1'!E26</f>
        <v>QL1.3</v>
      </c>
      <c r="C31" s="34" t="str">
        <f>'RAG Run 1'!F26</f>
        <v>Improve Construction Safety</v>
      </c>
      <c r="D31" s="35">
        <f>IF('RAG Run 1'!G26="","",'RAG Run 1'!G26)</f>
        <v>14</v>
      </c>
      <c r="E31" s="35">
        <f>IF('RAG Run 2'!G26="","",'RAG Run 2'!G26)</f>
        <v>14</v>
      </c>
      <c r="F31" s="35">
        <f>IF('RAG Run 3'!G26="","",'RAG Run 3'!G26)</f>
        <v>14</v>
      </c>
      <c r="G31" s="35">
        <f>IF('RAG Run 4'!G26="","",'RAG Run 4'!G26)</f>
        <v>14</v>
      </c>
      <c r="H31" s="35">
        <f>IF('RAG Run 5'!G26="","",'RAG Run 5'!G26)</f>
        <v>14</v>
      </c>
      <c r="I31" s="36" t="str">
        <f>IF(AND(D31=E31,E31=F31,F31=G31,G31=H31),"Yes","No")</f>
        <v>Yes</v>
      </c>
    </row>
    <row r="32" spans="1:9" x14ac:dyDescent="0.25">
      <c r="A32" s="27" t="str">
        <f>'RAG Run 1'!D27</f>
        <v>Quality Of Life</v>
      </c>
      <c r="B32" s="28" t="str">
        <f>'RAG Run 1'!E27</f>
        <v>QL1.4</v>
      </c>
      <c r="C32" s="29" t="str">
        <f>'RAG Run 1'!F27</f>
        <v>Minimize Noise &amp; Vibration</v>
      </c>
      <c r="D32" s="30">
        <f>IF('RAG Run 1'!G27="","",'RAG Run 1'!G27)</f>
        <v>12</v>
      </c>
      <c r="E32" s="30">
        <f>IF('RAG Run 2'!G27="","",'RAG Run 2'!G27)</f>
        <v>12</v>
      </c>
      <c r="F32" s="30">
        <f>IF('RAG Run 3'!G27="","",'RAG Run 3'!G27)</f>
        <v>12</v>
      </c>
      <c r="G32" s="30">
        <f>IF('RAG Run 4'!G27="","",'RAG Run 4'!G27)</f>
        <v>12</v>
      </c>
      <c r="H32" s="30">
        <f>IF('RAG Run 5'!G27="","",'RAG Run 5'!G27)</f>
        <v>12</v>
      </c>
      <c r="I32" s="31" t="str">
        <f>IF(AND(D32=E32,E32=F32,F32=G32,G32=H32),"Yes","No")</f>
        <v>Yes</v>
      </c>
    </row>
    <row r="33" spans="1:9" x14ac:dyDescent="0.25">
      <c r="A33" s="32" t="str">
        <f>'RAG Run 1'!D28</f>
        <v>Quality Of Life</v>
      </c>
      <c r="B33" s="33" t="str">
        <f>'RAG Run 1'!E28</f>
        <v>QL1.5</v>
      </c>
      <c r="C33" s="34" t="str">
        <f>'RAG Run 1'!F28</f>
        <v>Minimize Light Pollution</v>
      </c>
      <c r="D33" s="35">
        <f>IF('RAG Run 1'!G28="","",'RAG Run 1'!G28)</f>
        <v>12</v>
      </c>
      <c r="E33" s="35">
        <f>IF('RAG Run 2'!G28="","",'RAG Run 2'!G28)</f>
        <v>12</v>
      </c>
      <c r="F33" s="35">
        <f>IF('RAG Run 3'!G28="","",'RAG Run 3'!G28)</f>
        <v>12</v>
      </c>
      <c r="G33" s="35">
        <f>IF('RAG Run 4'!G28="","",'RAG Run 4'!G28)</f>
        <v>12</v>
      </c>
      <c r="H33" s="35">
        <f>IF('RAG Run 5'!G28="","",'RAG Run 5'!G28)</f>
        <v>12</v>
      </c>
      <c r="I33" s="36" t="str">
        <f>IF(AND(D33=E33,E33=F33,F33=G33,G33=H33),"Yes","No")</f>
        <v>Yes</v>
      </c>
    </row>
    <row r="34" spans="1:9" x14ac:dyDescent="0.25">
      <c r="A34" s="27" t="str">
        <f>'RAG Run 1'!D29</f>
        <v>Quality Of Life</v>
      </c>
      <c r="B34" s="28" t="str">
        <f>'RAG Run 1'!E29</f>
        <v>QL1.6</v>
      </c>
      <c r="C34" s="29" t="str">
        <f>'RAG Run 1'!F29</f>
        <v>Minimize Construction Impacts</v>
      </c>
      <c r="D34" s="30">
        <f>IF('RAG Run 1'!G29="","",'RAG Run 1'!G29)</f>
        <v>8</v>
      </c>
      <c r="E34" s="30">
        <f>IF('RAG Run 2'!G29="","",'RAG Run 2'!G29)</f>
        <v>8</v>
      </c>
      <c r="F34" s="30">
        <f>IF('RAG Run 3'!G29="","",'RAG Run 3'!G29)</f>
        <v>8</v>
      </c>
      <c r="G34" s="30">
        <f>IF('RAG Run 4'!G29="","",'RAG Run 4'!G29)</f>
        <v>8</v>
      </c>
      <c r="H34" s="30">
        <f>IF('RAG Run 5'!G29="","",'RAG Run 5'!G29)</f>
        <v>8</v>
      </c>
      <c r="I34" s="31" t="str">
        <f>IF(AND(D34=E34,E34=F34,F34=G34,G34=H34),"Yes","No")</f>
        <v>Yes</v>
      </c>
    </row>
    <row r="35" spans="1:9" x14ac:dyDescent="0.25">
      <c r="A35" s="32" t="str">
        <f>'RAG Run 1'!D30</f>
        <v>Quality Of Life</v>
      </c>
      <c r="B35" s="33" t="str">
        <f>'RAG Run 1'!E30</f>
        <v>QL2.1</v>
      </c>
      <c r="C35" s="34" t="str">
        <f>'RAG Run 1'!F30</f>
        <v>Improve Community Mobility</v>
      </c>
      <c r="D35" s="35">
        <f>IF('RAG Run 1'!G30="","",'RAG Run 1'!G30)</f>
        <v>14</v>
      </c>
      <c r="E35" s="35">
        <f>IF('RAG Run 2'!G30="","",'RAG Run 2'!G30)</f>
        <v>14</v>
      </c>
      <c r="F35" s="35">
        <f>IF('RAG Run 3'!G30="","",'RAG Run 3'!G30)</f>
        <v>14</v>
      </c>
      <c r="G35" s="35">
        <f>IF('RAG Run 4'!G30="","",'RAG Run 4'!G30)</f>
        <v>14</v>
      </c>
      <c r="H35" s="35">
        <f>IF('RAG Run 5'!G30="","",'RAG Run 5'!G30)</f>
        <v>14</v>
      </c>
      <c r="I35" s="36" t="str">
        <f>IF(AND(D35=E35,E35=F35,F35=G35,G35=H35),"Yes","No")</f>
        <v>Yes</v>
      </c>
    </row>
    <row r="36" spans="1:9" x14ac:dyDescent="0.25">
      <c r="A36" s="27" t="str">
        <f>'RAG Run 1'!D31</f>
        <v>Quality Of Life</v>
      </c>
      <c r="B36" s="28" t="str">
        <f>'RAG Run 1'!E31</f>
        <v>QL2.2</v>
      </c>
      <c r="C36" s="29" t="str">
        <f>'RAG Run 1'!F31</f>
        <v>Encourage Sustainable Transportation</v>
      </c>
      <c r="D36" s="30">
        <f>IF('RAG Run 1'!G31="","",'RAG Run 1'!G31)</f>
        <v>16</v>
      </c>
      <c r="E36" s="30">
        <f>IF('RAG Run 2'!G31="","",'RAG Run 2'!G31)</f>
        <v>16</v>
      </c>
      <c r="F36" s="30">
        <f>IF('RAG Run 3'!G31="","",'RAG Run 3'!G31)</f>
        <v>16</v>
      </c>
      <c r="G36" s="30">
        <f>IF('RAG Run 4'!G31="","",'RAG Run 4'!G31)</f>
        <v>16</v>
      </c>
      <c r="H36" s="30">
        <f>IF('RAG Run 5'!G31="","",'RAG Run 5'!G31)</f>
        <v>16</v>
      </c>
      <c r="I36" s="31" t="str">
        <f>IF(AND(D36=E36,E36=F36,F36=G36,G36=H36),"Yes","No")</f>
        <v>Yes</v>
      </c>
    </row>
    <row r="37" spans="1:9" x14ac:dyDescent="0.25">
      <c r="A37" s="32" t="str">
        <f>'RAG Run 1'!D32</f>
        <v>Quality Of Life</v>
      </c>
      <c r="B37" s="33" t="str">
        <f>'RAG Run 1'!E32</f>
        <v>QL2.3</v>
      </c>
      <c r="C37" s="34" t="str">
        <f>'RAG Run 1'!F32</f>
        <v>Improve Access &amp; Wayfinding</v>
      </c>
      <c r="D37" s="35">
        <f>IF('RAG Run 1'!G32="","",'RAG Run 1'!G32)</f>
        <v>14</v>
      </c>
      <c r="E37" s="35">
        <f>IF('RAG Run 2'!G32="","",'RAG Run 2'!G32)</f>
        <v>14</v>
      </c>
      <c r="F37" s="35">
        <f>IF('RAG Run 3'!G32="","",'RAG Run 3'!G32)</f>
        <v>14</v>
      </c>
      <c r="G37" s="35">
        <f>IF('RAG Run 4'!G32="","",'RAG Run 4'!G32)</f>
        <v>14</v>
      </c>
      <c r="H37" s="35">
        <f>IF('RAG Run 5'!G32="","",'RAG Run 5'!G32)</f>
        <v>14</v>
      </c>
      <c r="I37" s="36" t="str">
        <f>IF(AND(D37=E37,E37=F37,F37=G37,G37=H37),"Yes","No")</f>
        <v>Yes</v>
      </c>
    </row>
    <row r="38" spans="1:9" x14ac:dyDescent="0.25">
      <c r="A38" s="27" t="str">
        <f>'RAG Run 1'!D33</f>
        <v>Quality Of Life</v>
      </c>
      <c r="B38" s="28" t="str">
        <f>'RAG Run 1'!E33</f>
        <v>QL3.1</v>
      </c>
      <c r="C38" s="29" t="str">
        <f>'RAG Run 1'!F33</f>
        <v>Advance Equity &amp; Social Justice</v>
      </c>
      <c r="D38" s="30">
        <f>IF('RAG Run 1'!G33="","",'RAG Run 1'!G33)</f>
        <v>18</v>
      </c>
      <c r="E38" s="30">
        <f>IF('RAG Run 2'!G33="","",'RAG Run 2'!G33)</f>
        <v>18</v>
      </c>
      <c r="F38" s="30">
        <f>IF('RAG Run 3'!G33="","",'RAG Run 3'!G33)</f>
        <v>18</v>
      </c>
      <c r="G38" s="30">
        <f>IF('RAG Run 4'!G33="","",'RAG Run 4'!G33)</f>
        <v>18</v>
      </c>
      <c r="H38" s="30">
        <f>IF('RAG Run 5'!G33="","",'RAG Run 5'!G33)</f>
        <v>18</v>
      </c>
      <c r="I38" s="31" t="str">
        <f>IF(AND(D38=E38,E38=F38,F38=G38,G38=H38),"Yes","No")</f>
        <v>Yes</v>
      </c>
    </row>
    <row r="39" spans="1:9" x14ac:dyDescent="0.25">
      <c r="A39" s="32" t="str">
        <f>'RAG Run 1'!D34</f>
        <v>Quality Of Life</v>
      </c>
      <c r="B39" s="33" t="str">
        <f>'RAG Run 1'!E34</f>
        <v>QL3.2</v>
      </c>
      <c r="C39" s="34" t="str">
        <f>'RAG Run 1'!F34</f>
        <v>Preserve Historic &amp; Cultural Resources</v>
      </c>
      <c r="D39" s="35">
        <f>IF('RAG Run 1'!G34="","",'RAG Run 1'!G34)</f>
        <v>18</v>
      </c>
      <c r="E39" s="35">
        <f>IF('RAG Run 2'!G34="","",'RAG Run 2'!G34)</f>
        <v>18</v>
      </c>
      <c r="F39" s="35">
        <f>IF('RAG Run 3'!G34="","",'RAG Run 3'!G34)</f>
        <v>18</v>
      </c>
      <c r="G39" s="35">
        <f>IF('RAG Run 4'!G34="","",'RAG Run 4'!G34)</f>
        <v>18</v>
      </c>
      <c r="H39" s="35">
        <f>IF('RAG Run 5'!G34="","",'RAG Run 5'!G34)</f>
        <v>18</v>
      </c>
      <c r="I39" s="36" t="str">
        <f>IF(AND(D39=E39,E39=F39,F39=G39,G39=H39),"Yes","No")</f>
        <v>Yes</v>
      </c>
    </row>
    <row r="40" spans="1:9" x14ac:dyDescent="0.25">
      <c r="A40" s="27" t="str">
        <f>'RAG Run 1'!D35</f>
        <v>Quality Of Life</v>
      </c>
      <c r="B40" s="28" t="str">
        <f>'RAG Run 1'!E35</f>
        <v>QL3.3</v>
      </c>
      <c r="C40" s="29" t="str">
        <f>'RAG Run 1'!F35</f>
        <v>Enhance Views &amp; Local Character</v>
      </c>
      <c r="D40" s="30">
        <f>IF('RAG Run 1'!G35="","",'RAG Run 1'!G35)</f>
        <v>14</v>
      </c>
      <c r="E40" s="30">
        <f>IF('RAG Run 2'!G35="","",'RAG Run 2'!G35)</f>
        <v>14</v>
      </c>
      <c r="F40" s="30">
        <f>IF('RAG Run 3'!G35="","",'RAG Run 3'!G35)</f>
        <v>14</v>
      </c>
      <c r="G40" s="30">
        <f>IF('RAG Run 4'!G35="","",'RAG Run 4'!G35)</f>
        <v>14</v>
      </c>
      <c r="H40" s="30">
        <f>IF('RAG Run 5'!G35="","",'RAG Run 5'!G35)</f>
        <v>14</v>
      </c>
      <c r="I40" s="31" t="str">
        <f>IF(AND(D40=E40,E40=F40,F40=G40,G40=H40),"Yes","No")</f>
        <v>Yes</v>
      </c>
    </row>
    <row r="41" spans="1:9" x14ac:dyDescent="0.25">
      <c r="A41" s="32" t="str">
        <f>'RAG Run 1'!D36</f>
        <v>Resource Allocation</v>
      </c>
      <c r="B41" s="33" t="str">
        <f>'RAG Run 1'!E36</f>
        <v>RA1.1</v>
      </c>
      <c r="C41" s="34" t="str">
        <f>'RAG Run 1'!F36</f>
        <v>Reduce Materials Use</v>
      </c>
      <c r="D41" s="35">
        <f>IF('RAG Run 1'!G36="","",'RAG Run 1'!G36)</f>
        <v>12</v>
      </c>
      <c r="E41" s="35">
        <f>IF('RAG Run 2'!G36="","",'RAG Run 2'!G36)</f>
        <v>12</v>
      </c>
      <c r="F41" s="35">
        <f>IF('RAG Run 3'!G36="","",'RAG Run 3'!G36)</f>
        <v>12</v>
      </c>
      <c r="G41" s="35">
        <f>IF('RAG Run 4'!G36="","",'RAG Run 4'!G36)</f>
        <v>12</v>
      </c>
      <c r="H41" s="35">
        <f>IF('RAG Run 5'!G36="","",'RAG Run 5'!G36)</f>
        <v>12</v>
      </c>
      <c r="I41" s="36" t="str">
        <f>IF(AND(D41=E41,E41=F41,F41=G41,G41=H41),"Yes","No")</f>
        <v>Yes</v>
      </c>
    </row>
    <row r="42" spans="1:9" x14ac:dyDescent="0.25">
      <c r="A42" s="27" t="str">
        <f>'RAG Run 1'!D37</f>
        <v>Resource Allocation</v>
      </c>
      <c r="B42" s="28" t="str">
        <f>'RAG Run 1'!E37</f>
        <v>RA1.2</v>
      </c>
      <c r="C42" s="29" t="str">
        <f>'RAG Run 1'!F37</f>
        <v>Use Recycled Materials</v>
      </c>
      <c r="D42" s="30">
        <f>IF('RAG Run 1'!G37="","",'RAG Run 1'!G37)</f>
        <v>10</v>
      </c>
      <c r="E42" s="30">
        <f>IF('RAG Run 2'!G37="","",'RAG Run 2'!G37)</f>
        <v>10</v>
      </c>
      <c r="F42" s="30">
        <f>IF('RAG Run 3'!G37="","",'RAG Run 3'!G37)</f>
        <v>10</v>
      </c>
      <c r="G42" s="30">
        <f>IF('RAG Run 4'!G37="","",'RAG Run 4'!G37)</f>
        <v>10</v>
      </c>
      <c r="H42" s="30">
        <f>IF('RAG Run 5'!G37="","",'RAG Run 5'!G37)</f>
        <v>10</v>
      </c>
      <c r="I42" s="31" t="str">
        <f>IF(AND(D42=E42,E42=F42,F42=G42,G42=H42),"Yes","No")</f>
        <v>Yes</v>
      </c>
    </row>
    <row r="43" spans="1:9" x14ac:dyDescent="0.25">
      <c r="A43" s="32" t="str">
        <f>'RAG Run 1'!D38</f>
        <v>Resource Allocation</v>
      </c>
      <c r="B43" s="33" t="str">
        <f>'RAG Run 1'!E38</f>
        <v>RA1.3</v>
      </c>
      <c r="C43" s="34" t="str">
        <f>'RAG Run 1'!F38</f>
        <v>Reduce Operational Waste</v>
      </c>
      <c r="D43" s="35">
        <f>IF('RAG Run 1'!G38="","",'RAG Run 1'!G38)</f>
        <v>8</v>
      </c>
      <c r="E43" s="35">
        <f>IF('RAG Run 2'!G38="","",'RAG Run 2'!G38)</f>
        <v>8</v>
      </c>
      <c r="F43" s="35">
        <f>IF('RAG Run 3'!G38="","",'RAG Run 3'!G38)</f>
        <v>8</v>
      </c>
      <c r="G43" s="35">
        <f>IF('RAG Run 4'!G38="","",'RAG Run 4'!G38)</f>
        <v>8</v>
      </c>
      <c r="H43" s="35">
        <f>IF('RAG Run 5'!G38="","",'RAG Run 5'!G38)</f>
        <v>8</v>
      </c>
      <c r="I43" s="36" t="str">
        <f>IF(AND(D43=E43,E43=F43,F43=G43,G43=H43),"Yes","No")</f>
        <v>Yes</v>
      </c>
    </row>
    <row r="44" spans="1:9" x14ac:dyDescent="0.25">
      <c r="A44" s="27" t="str">
        <f>'RAG Run 1'!D39</f>
        <v>Resource Allocation</v>
      </c>
      <c r="B44" s="28" t="str">
        <f>'RAG Run 1'!E39</f>
        <v>RA1.4</v>
      </c>
      <c r="C44" s="29" t="str">
        <f>'RAG Run 1'!F39</f>
        <v>Reduce Construction Waste</v>
      </c>
      <c r="D44" s="30">
        <f>IF('RAG Run 1'!G39="","",'RAG Run 1'!G39)</f>
        <v>10</v>
      </c>
      <c r="E44" s="30">
        <f>IF('RAG Run 2'!G39="","",'RAG Run 2'!G39)</f>
        <v>10</v>
      </c>
      <c r="F44" s="30">
        <f>IF('RAG Run 3'!G39="","",'RAG Run 3'!G39)</f>
        <v>10</v>
      </c>
      <c r="G44" s="30">
        <f>IF('RAG Run 4'!G39="","",'RAG Run 4'!G39)</f>
        <v>10</v>
      </c>
      <c r="H44" s="30">
        <f>IF('RAG Run 5'!G39="","",'RAG Run 5'!G39)</f>
        <v>10</v>
      </c>
      <c r="I44" s="31" t="str">
        <f>IF(AND(D44=E44,E44=F44,F44=G44,G44=H44),"Yes","No")</f>
        <v>Yes</v>
      </c>
    </row>
    <row r="45" spans="1:9" x14ac:dyDescent="0.25">
      <c r="A45" s="32" t="str">
        <f>'RAG Run 1'!D40</f>
        <v>Resource Allocation</v>
      </c>
      <c r="B45" s="33" t="str">
        <f>'RAG Run 1'!E40</f>
        <v>RA1.5</v>
      </c>
      <c r="C45" s="34" t="str">
        <f>'RAG Run 1'!F40</f>
        <v>Balance Earthwork On Site</v>
      </c>
      <c r="D45" s="35">
        <f>IF('RAG Run 1'!G40="","",'RAG Run 1'!G40)</f>
        <v>6</v>
      </c>
      <c r="E45" s="35">
        <f>IF('RAG Run 2'!G40="","",'RAG Run 2'!G40)</f>
        <v>6</v>
      </c>
      <c r="F45" s="35">
        <f>IF('RAG Run 3'!G40="","",'RAG Run 3'!G40)</f>
        <v>6</v>
      </c>
      <c r="G45" s="35">
        <f>IF('RAG Run 4'!G40="","",'RAG Run 4'!G40)</f>
        <v>6</v>
      </c>
      <c r="H45" s="35">
        <f>IF('RAG Run 5'!G40="","",'RAG Run 5'!G40)</f>
        <v>6</v>
      </c>
      <c r="I45" s="36" t="str">
        <f>IF(AND(D45=E45,E45=F45,F45=G45,G45=H45),"Yes","No")</f>
        <v>Yes</v>
      </c>
    </row>
    <row r="46" spans="1:9" x14ac:dyDescent="0.25">
      <c r="A46" s="27" t="str">
        <f>'RAG Run 1'!D41</f>
        <v>Resource Allocation</v>
      </c>
      <c r="B46" s="28" t="str">
        <f>'RAG Run 1'!E41</f>
        <v>RA2.1</v>
      </c>
      <c r="C46" s="29" t="str">
        <f>'RAG Run 1'!F41</f>
        <v>Reduce Operational Energy Consumption</v>
      </c>
      <c r="D46" s="30">
        <f>IF('RAG Run 1'!G41="","",'RAG Run 1'!G41)</f>
        <v>20</v>
      </c>
      <c r="E46" s="30">
        <f>IF('RAG Run 2'!G41="","",'RAG Run 2'!G41)</f>
        <v>20</v>
      </c>
      <c r="F46" s="30">
        <f>IF('RAG Run 3'!G41="","",'RAG Run 3'!G41)</f>
        <v>20</v>
      </c>
      <c r="G46" s="30">
        <f>IF('RAG Run 4'!G41="","",'RAG Run 4'!G41)</f>
        <v>20</v>
      </c>
      <c r="H46" s="30">
        <f>IF('RAG Run 5'!G41="","",'RAG Run 5'!G41)</f>
        <v>20</v>
      </c>
      <c r="I46" s="31" t="str">
        <f>IF(AND(D46=E46,E46=F46,F46=G46,G46=H46),"Yes","No")</f>
        <v>Yes</v>
      </c>
    </row>
    <row r="47" spans="1:9" x14ac:dyDescent="0.25">
      <c r="A47" s="32" t="str">
        <f>'RAG Run 1'!D42</f>
        <v>Resource Allocation</v>
      </c>
      <c r="B47" s="33" t="str">
        <f>'RAG Run 1'!E42</f>
        <v>RA2.2</v>
      </c>
      <c r="C47" s="34" t="str">
        <f>'RAG Run 1'!F42</f>
        <v>Reduce Construction Energy Consumption</v>
      </c>
      <c r="D47" s="35">
        <f>IF('RAG Run 1'!G42="","",'RAG Run 1'!G42)</f>
        <v>12</v>
      </c>
      <c r="E47" s="35">
        <f>IF('RAG Run 2'!G42="","",'RAG Run 2'!G42)</f>
        <v>12</v>
      </c>
      <c r="F47" s="35">
        <f>IF('RAG Run 3'!G42="","",'RAG Run 3'!G42)</f>
        <v>12</v>
      </c>
      <c r="G47" s="35">
        <f>IF('RAG Run 4'!G42="","",'RAG Run 4'!G42)</f>
        <v>12</v>
      </c>
      <c r="H47" s="35">
        <f>IF('RAG Run 5'!G42="","",'RAG Run 5'!G42)</f>
        <v>12</v>
      </c>
      <c r="I47" s="36" t="str">
        <f>IF(AND(D47=E47,E47=F47,F47=G47,G47=H47),"Yes","No")</f>
        <v>Yes</v>
      </c>
    </row>
    <row r="48" spans="1:9" x14ac:dyDescent="0.25">
      <c r="A48" s="27" t="str">
        <f>'RAG Run 1'!D43</f>
        <v>Resource Allocation</v>
      </c>
      <c r="B48" s="28" t="str">
        <f>'RAG Run 1'!E43</f>
        <v>RA2.3</v>
      </c>
      <c r="C48" s="29" t="str">
        <f>'RAG Run 1'!F43</f>
        <v>Use Renewable Energy</v>
      </c>
      <c r="D48" s="30">
        <f>IF('RAG Run 1'!G43="","",'RAG Run 1'!G43)</f>
        <v>10</v>
      </c>
      <c r="E48" s="30">
        <f>IF('RAG Run 2'!G43="","",'RAG Run 2'!G43)</f>
        <v>10</v>
      </c>
      <c r="F48" s="30">
        <f>IF('RAG Run 3'!G43="","",'RAG Run 3'!G43)</f>
        <v>10</v>
      </c>
      <c r="G48" s="30">
        <f>IF('RAG Run 4'!G43="","",'RAG Run 4'!G43)</f>
        <v>10</v>
      </c>
      <c r="H48" s="30">
        <f>IF('RAG Run 5'!G43="","",'RAG Run 5'!G43)</f>
        <v>10</v>
      </c>
      <c r="I48" s="31" t="str">
        <f>IF(AND(D48=E48,E48=F48,F48=G48,G48=H48),"Yes","No")</f>
        <v>Yes</v>
      </c>
    </row>
    <row r="49" spans="1:9" x14ac:dyDescent="0.25">
      <c r="A49" s="32" t="str">
        <f>'RAG Run 1'!D44</f>
        <v>Resource Allocation</v>
      </c>
      <c r="B49" s="33" t="str">
        <f>'RAG Run 1'!E44</f>
        <v>RA2.4</v>
      </c>
      <c r="C49" s="34" t="str">
        <f>'RAG Run 1'!F44</f>
        <v>Commission and Monitor Energy Systems</v>
      </c>
      <c r="D49" s="35">
        <f>IF('RAG Run 1'!G44="","",'RAG Run 1'!G44)</f>
        <v>8</v>
      </c>
      <c r="E49" s="35">
        <f>IF('RAG Run 2'!G44="","",'RAG Run 2'!G44)</f>
        <v>8</v>
      </c>
      <c r="F49" s="35">
        <f>IF('RAG Run 3'!G44="","",'RAG Run 3'!G44)</f>
        <v>8</v>
      </c>
      <c r="G49" s="35">
        <f>IF('RAG Run 4'!G44="","",'RAG Run 4'!G44)</f>
        <v>8</v>
      </c>
      <c r="H49" s="35">
        <f>IF('RAG Run 5'!G44="","",'RAG Run 5'!G44)</f>
        <v>8</v>
      </c>
      <c r="I49" s="36" t="str">
        <f>IF(AND(D49=E49,E49=F49,F49=G49,G49=H49),"Yes","No")</f>
        <v>Yes</v>
      </c>
    </row>
    <row r="50" spans="1:9" x14ac:dyDescent="0.25">
      <c r="A50" s="27" t="str">
        <f>'RAG Run 1'!D45</f>
        <v>Resource Allocation</v>
      </c>
      <c r="B50" s="28" t="str">
        <f>'RAG Run 1'!E45</f>
        <v>RA3.1</v>
      </c>
      <c r="C50" s="29" t="str">
        <f>'RAG Run 1'!F45</f>
        <v>Preserve Water Resources</v>
      </c>
      <c r="D50" s="30">
        <f>IF('RAG Run 1'!G45="","",'RAG Run 1'!G45)</f>
        <v>14</v>
      </c>
      <c r="E50" s="30">
        <f>IF('RAG Run 2'!G45="","",'RAG Run 2'!G45)</f>
        <v>14</v>
      </c>
      <c r="F50" s="30">
        <f>IF('RAG Run 3'!G45="","",'RAG Run 3'!G45)</f>
        <v>14</v>
      </c>
      <c r="G50" s="30">
        <f>IF('RAG Run 4'!G45="","",'RAG Run 4'!G45)</f>
        <v>14</v>
      </c>
      <c r="H50" s="30">
        <f>IF('RAG Run 5'!G45="","",'RAG Run 5'!G45)</f>
        <v>14</v>
      </c>
      <c r="I50" s="31" t="str">
        <f>IF(AND(D50=E50,E50=F50,F50=G50,G50=H50),"Yes","No")</f>
        <v>Yes</v>
      </c>
    </row>
    <row r="51" spans="1:9" x14ac:dyDescent="0.25">
      <c r="A51" s="32" t="str">
        <f>'RAG Run 1'!D46</f>
        <v>Resource Allocation</v>
      </c>
      <c r="B51" s="33" t="str">
        <f>'RAG Run 1'!E46</f>
        <v>RA3.2</v>
      </c>
      <c r="C51" s="34" t="str">
        <f>'RAG Run 1'!F46</f>
        <v>Reduce Operational Water Consumption</v>
      </c>
      <c r="D51" s="35">
        <f>IF('RAG Run 1'!G46="","",'RAG Run 1'!G46)</f>
        <v>12</v>
      </c>
      <c r="E51" s="35">
        <f>IF('RAG Run 2'!G46="","",'RAG Run 2'!G46)</f>
        <v>12</v>
      </c>
      <c r="F51" s="35">
        <f>IF('RAG Run 3'!G46="","",'RAG Run 3'!G46)</f>
        <v>12</v>
      </c>
      <c r="G51" s="35">
        <f>IF('RAG Run 4'!G46="","",'RAG Run 4'!G46)</f>
        <v>12</v>
      </c>
      <c r="H51" s="35">
        <f>IF('RAG Run 5'!G46="","",'RAG Run 5'!G46)</f>
        <v>12</v>
      </c>
      <c r="I51" s="36" t="str">
        <f>IF(AND(D51=E51,E51=F51,F51=G51,G51=H51),"Yes","No")</f>
        <v>Yes</v>
      </c>
    </row>
    <row r="52" spans="1:9" x14ac:dyDescent="0.25">
      <c r="A52" s="27" t="str">
        <f>'RAG Run 1'!D47</f>
        <v>Resource Allocation</v>
      </c>
      <c r="B52" s="28" t="str">
        <f>'RAG Run 1'!E47</f>
        <v>RA3.3</v>
      </c>
      <c r="C52" s="29" t="str">
        <f>'RAG Run 1'!F47</f>
        <v>Reduce Construction Water Consumption</v>
      </c>
      <c r="D52" s="30">
        <f>IF('RAG Run 1'!G47="","",'RAG Run 1'!G47)</f>
        <v>10</v>
      </c>
      <c r="E52" s="30">
        <f>IF('RAG Run 2'!G47="","",'RAG Run 2'!G47)</f>
        <v>10</v>
      </c>
      <c r="F52" s="30">
        <f>IF('RAG Run 3'!G47="","",'RAG Run 3'!G47)</f>
        <v>10</v>
      </c>
      <c r="G52" s="30">
        <f>IF('RAG Run 4'!G47="","",'RAG Run 4'!G47)</f>
        <v>8</v>
      </c>
      <c r="H52" s="30">
        <f>IF('RAG Run 5'!G47="","",'RAG Run 5'!G47)</f>
        <v>10</v>
      </c>
      <c r="I52" s="31" t="str">
        <f>IF(AND(D52=E52,E52=F52,F52=G52,G52=H52),"Yes","No")</f>
        <v>No</v>
      </c>
    </row>
    <row r="53" spans="1:9" ht="15.75" thickBot="1" x14ac:dyDescent="0.3">
      <c r="A53" s="37" t="str">
        <f>'RAG Run 1'!D48</f>
        <v>Resource Allocation</v>
      </c>
      <c r="B53" s="38" t="str">
        <f>'RAG Run 1'!E48</f>
        <v>RA3.4</v>
      </c>
      <c r="C53" s="39" t="str">
        <f>'RAG Run 1'!F48</f>
        <v>Monitor Water Systems</v>
      </c>
      <c r="D53" s="40">
        <f>IF('RAG Run 1'!G48="","",'RAG Run 1'!G48)</f>
        <v>8</v>
      </c>
      <c r="E53" s="40">
        <f>IF('RAG Run 2'!G48="","",'RAG Run 2'!G48)</f>
        <v>8</v>
      </c>
      <c r="F53" s="40">
        <f>IF('RAG Run 3'!G48="","",'RAG Run 3'!G48)</f>
        <v>8</v>
      </c>
      <c r="G53" s="40">
        <f>IF('RAG Run 4'!G48="","",'RAG Run 4'!G48)</f>
        <v>6</v>
      </c>
      <c r="H53" s="40">
        <f>IF('RAG Run 5'!G48="","",'RAG Run 5'!G48)</f>
        <v>8</v>
      </c>
      <c r="I53" s="41" t="str">
        <f>IF(AND(D53=E53,E53=F53,F53=G53,G53=H53),"Yes","No")</f>
        <v>No</v>
      </c>
    </row>
    <row r="55" spans="1:9" x14ac:dyDescent="0.25">
      <c r="A55" s="20" t="s">
        <v>8</v>
      </c>
      <c r="B55" s="20"/>
      <c r="C55" s="20"/>
      <c r="D55" s="20"/>
      <c r="E55" s="20"/>
      <c r="F55" s="20"/>
      <c r="G55" s="20"/>
      <c r="H55" s="20"/>
      <c r="I55" s="20"/>
    </row>
    <row r="56" spans="1:9" ht="15.75" thickBot="1" x14ac:dyDescent="0.3">
      <c r="A56" s="21" t="s">
        <v>3</v>
      </c>
      <c r="B56" s="21" t="s">
        <v>4</v>
      </c>
      <c r="C56" s="21" t="s">
        <v>5</v>
      </c>
      <c r="D56" s="21" t="s">
        <v>1068</v>
      </c>
      <c r="E56" s="21" t="s">
        <v>1069</v>
      </c>
      <c r="F56" s="21" t="s">
        <v>1070</v>
      </c>
      <c r="G56" s="21" t="s">
        <v>1071</v>
      </c>
      <c r="H56" s="21" t="s">
        <v>1072</v>
      </c>
      <c r="I56" s="21" t="s">
        <v>1073</v>
      </c>
    </row>
    <row r="57" spans="1:9" x14ac:dyDescent="0.25">
      <c r="A57" s="22" t="str">
        <f>'RAG Run 1'!D2</f>
        <v>Climate And Resilience</v>
      </c>
      <c r="B57" s="23" t="str">
        <f>'RAG Run 1'!E2</f>
        <v>CR2.1</v>
      </c>
      <c r="C57" s="24" t="str">
        <f>'RAG Run 1'!F2</f>
        <v>Avoid Unsuitable Development</v>
      </c>
      <c r="D57" s="23" t="str">
        <f>IF('RAG Run 1'!I2="","",'RAG Run 1'!I2)</f>
        <v>No Level</v>
      </c>
      <c r="E57" s="23" t="str">
        <f>IF('RAG Run 2'!I2="","",'RAG Run 2'!I2)</f>
        <v>No Level</v>
      </c>
      <c r="F57" s="23" t="str">
        <f>IF('RAG Run 3'!I2="","",'RAG Run 3'!I2)</f>
        <v>Improved</v>
      </c>
      <c r="G57" s="23" t="str">
        <f>IF('RAG Run 4'!I2="","",'RAG Run 4'!I2)</f>
        <v>No Level</v>
      </c>
      <c r="H57" s="23" t="str">
        <f>IF('RAG Run 5'!I2="","",'RAG Run 5'!I2)</f>
        <v>No Level</v>
      </c>
      <c r="I57" s="26" t="str">
        <f>IF(AND(D57=E57,E57=F57,F57=G57,G57=H57),"Yes","No")</f>
        <v>No</v>
      </c>
    </row>
    <row r="58" spans="1:9" x14ac:dyDescent="0.25">
      <c r="A58" s="27" t="str">
        <f>'RAG Run 1'!D3</f>
        <v>Climate And Resilience</v>
      </c>
      <c r="B58" s="28" t="str">
        <f>'RAG Run 1'!E3</f>
        <v>CR2.2</v>
      </c>
      <c r="C58" s="29" t="str">
        <f>'RAG Run 1'!F3</f>
        <v>Assess Climate Change Vulnerability</v>
      </c>
      <c r="D58" s="28" t="str">
        <f>IF('RAG Run 1'!I3="","",'RAG Run 1'!I3)</f>
        <v>Improved</v>
      </c>
      <c r="E58" s="28" t="str">
        <f>IF('RAG Run 2'!I3="","",'RAG Run 2'!I3)</f>
        <v>No Level</v>
      </c>
      <c r="F58" s="28" t="str">
        <f>IF('RAG Run 3'!I3="","",'RAG Run 3'!I3)</f>
        <v>Improved</v>
      </c>
      <c r="G58" s="28" t="str">
        <f>IF('RAG Run 4'!I3="","",'RAG Run 4'!I3)</f>
        <v>No Level</v>
      </c>
      <c r="H58" s="28" t="str">
        <f>IF('RAG Run 5'!I3="","",'RAG Run 5'!I3)</f>
        <v>No Level</v>
      </c>
      <c r="I58" s="31" t="str">
        <f>IF(AND(D58=E58,E58=F58,F58=G58,G58=H58),"Yes","No")</f>
        <v>No</v>
      </c>
    </row>
    <row r="59" spans="1:9" x14ac:dyDescent="0.25">
      <c r="A59" s="32" t="str">
        <f>'RAG Run 1'!D4</f>
        <v>Climate And Resilience</v>
      </c>
      <c r="B59" s="33" t="str">
        <f>'RAG Run 1'!E4</f>
        <v>CR2.3</v>
      </c>
      <c r="C59" s="34" t="str">
        <f>'RAG Run 1'!F4</f>
        <v>Evaluate Risk and Resilience</v>
      </c>
      <c r="D59" s="33" t="str">
        <f>IF('RAG Run 1'!I4="","",'RAG Run 1'!I4)</f>
        <v>No Level</v>
      </c>
      <c r="E59" s="33" t="str">
        <f>IF('RAG Run 2'!I4="","",'RAG Run 2'!I4)</f>
        <v>No Level</v>
      </c>
      <c r="F59" s="33" t="str">
        <f>IF('RAG Run 3'!I4="","",'RAG Run 3'!I4)</f>
        <v>Improved</v>
      </c>
      <c r="G59" s="33" t="str">
        <f>IF('RAG Run 4'!I4="","",'RAG Run 4'!I4)</f>
        <v>No Level</v>
      </c>
      <c r="H59" s="33" t="str">
        <f>IF('RAG Run 5'!I4="","",'RAG Run 5'!I4)</f>
        <v>No Level</v>
      </c>
      <c r="I59" s="36" t="str">
        <f>IF(AND(D59=E59,E59=F59,F59=G59,G59=H59),"Yes","No")</f>
        <v>No</v>
      </c>
    </row>
    <row r="60" spans="1:9" x14ac:dyDescent="0.25">
      <c r="A60" s="27" t="str">
        <f>'RAG Run 1'!D5</f>
        <v>Climate And Resilience</v>
      </c>
      <c r="B60" s="28" t="str">
        <f>'RAG Run 1'!E5</f>
        <v>CR2.4</v>
      </c>
      <c r="C60" s="29" t="str">
        <f>'RAG Run 1'!F5</f>
        <v>Establish Resilience Goals and Strategies</v>
      </c>
      <c r="D60" s="28" t="str">
        <f>IF('RAG Run 1'!I5="","",'RAG Run 1'!I5)</f>
        <v>No Level</v>
      </c>
      <c r="E60" s="28" t="str">
        <f>IF('RAG Run 2'!I5="","",'RAG Run 2'!I5)</f>
        <v>No Level</v>
      </c>
      <c r="F60" s="28" t="str">
        <f>IF('RAG Run 3'!I5="","",'RAG Run 3'!I5)</f>
        <v>Enhanced</v>
      </c>
      <c r="G60" s="28" t="str">
        <f>IF('RAG Run 4'!I5="","",'RAG Run 4'!I5)</f>
        <v>No Level</v>
      </c>
      <c r="H60" s="28" t="str">
        <f>IF('RAG Run 5'!I5="","",'RAG Run 5'!I5)</f>
        <v>No Level</v>
      </c>
      <c r="I60" s="31" t="str">
        <f>IF(AND(D60=E60,E60=F60,F60=G60,G60=H60),"Yes","No")</f>
        <v>No</v>
      </c>
    </row>
    <row r="61" spans="1:9" x14ac:dyDescent="0.25">
      <c r="A61" s="32" t="str">
        <f>'RAG Run 1'!D6</f>
        <v>Climate And Resilience</v>
      </c>
      <c r="B61" s="33" t="str">
        <f>'RAG Run 1'!E6</f>
        <v>CR2.5</v>
      </c>
      <c r="C61" s="34" t="str">
        <f>'RAG Run 1'!F6</f>
        <v>Maximize Resilience</v>
      </c>
      <c r="D61" s="33" t="str">
        <f>IF('RAG Run 1'!I6="","",'RAG Run 1'!I6)</f>
        <v>No Level</v>
      </c>
      <c r="E61" s="33" t="str">
        <f>IF('RAG Run 2'!I6="","",'RAG Run 2'!I6)</f>
        <v>No Level</v>
      </c>
      <c r="F61" s="33" t="str">
        <f>IF('RAG Run 3'!I6="","",'RAG Run 3'!I6)</f>
        <v>Enhanced</v>
      </c>
      <c r="G61" s="33" t="str">
        <f>IF('RAG Run 4'!I6="","",'RAG Run 4'!I6)</f>
        <v>No Level</v>
      </c>
      <c r="H61" s="33" t="str">
        <f>IF('RAG Run 5'!I6="","",'RAG Run 5'!I6)</f>
        <v>No Level</v>
      </c>
      <c r="I61" s="36" t="str">
        <f>IF(AND(D61=E61,E61=F61,F61=G61,G61=H61),"Yes","No")</f>
        <v>No</v>
      </c>
    </row>
    <row r="62" spans="1:9" x14ac:dyDescent="0.25">
      <c r="A62" s="27" t="str">
        <f>'RAG Run 1'!D7</f>
        <v>Climate And Resilience</v>
      </c>
      <c r="B62" s="28" t="str">
        <f>'RAG Run 1'!E7</f>
        <v>CR2.6</v>
      </c>
      <c r="C62" s="29" t="str">
        <f>'RAG Run 1'!F7</f>
        <v>Improve Infrastructure Integration</v>
      </c>
      <c r="D62" s="28" t="str">
        <f>IF('RAG Run 1'!I7="","",'RAG Run 1'!I7)</f>
        <v>No Level</v>
      </c>
      <c r="E62" s="28" t="str">
        <f>IF('RAG Run 2'!I7="","",'RAG Run 2'!I7)</f>
        <v>No Level</v>
      </c>
      <c r="F62" s="28" t="str">
        <f>IF('RAG Run 3'!I7="","",'RAG Run 3'!I7)</f>
        <v>Improved</v>
      </c>
      <c r="G62" s="28" t="str">
        <f>IF('RAG Run 4'!I7="","",'RAG Run 4'!I7)</f>
        <v>No Level</v>
      </c>
      <c r="H62" s="28" t="str">
        <f>IF('RAG Run 5'!I7="","",'RAG Run 5'!I7)</f>
        <v>No Level</v>
      </c>
      <c r="I62" s="31" t="str">
        <f>IF(AND(D62=E62,E62=F62,F62=G62,G62=H62),"Yes","No")</f>
        <v>No</v>
      </c>
    </row>
    <row r="63" spans="1:9" x14ac:dyDescent="0.25">
      <c r="A63" s="32" t="str">
        <f>'RAG Run 1'!D8</f>
        <v>Leadership</v>
      </c>
      <c r="B63" s="33" t="str">
        <f>'RAG Run 1'!E8</f>
        <v>LD1.1</v>
      </c>
      <c r="C63" s="34" t="str">
        <f>'RAG Run 1'!F8</f>
        <v>Provide Effective Leadership and Commitment</v>
      </c>
      <c r="D63" s="33" t="str">
        <f>IF('RAG Run 1'!I8="","",'RAG Run 1'!I8)</f>
        <v>Improved</v>
      </c>
      <c r="E63" s="33" t="str">
        <f>IF('RAG Run 2'!I8="","",'RAG Run 2'!I8)</f>
        <v>Improved</v>
      </c>
      <c r="F63" s="33" t="str">
        <f>IF('RAG Run 3'!I8="","",'RAG Run 3'!I8)</f>
        <v>Improved</v>
      </c>
      <c r="G63" s="33" t="str">
        <f>IF('RAG Run 4'!I8="","",'RAG Run 4'!I8)</f>
        <v>Improved</v>
      </c>
      <c r="H63" s="33" t="str">
        <f>IF('RAG Run 5'!I8="","",'RAG Run 5'!I8)</f>
        <v>Improved</v>
      </c>
      <c r="I63" s="36" t="str">
        <f>IF(AND(D63=E63,E63=F63,F63=G63,G63=H63),"Yes","No")</f>
        <v>Yes</v>
      </c>
    </row>
    <row r="64" spans="1:9" x14ac:dyDescent="0.25">
      <c r="A64" s="27" t="str">
        <f>'RAG Run 1'!D9</f>
        <v>Leadership</v>
      </c>
      <c r="B64" s="28" t="str">
        <f>'RAG Run 1'!E9</f>
        <v>LD1.2</v>
      </c>
      <c r="C64" s="29" t="str">
        <f>'RAG Run 1'!F9</f>
        <v>Foster Collaboration and Teamwork</v>
      </c>
      <c r="D64" s="28" t="str">
        <f>IF('RAG Run 1'!I9="","",'RAG Run 1'!I9)</f>
        <v>Improved</v>
      </c>
      <c r="E64" s="28" t="str">
        <f>IF('RAG Run 2'!I9="","",'RAG Run 2'!I9)</f>
        <v>Improved</v>
      </c>
      <c r="F64" s="28" t="str">
        <f>IF('RAG Run 3'!I9="","",'RAG Run 3'!I9)</f>
        <v>Improved</v>
      </c>
      <c r="G64" s="28" t="str">
        <f>IF('RAG Run 4'!I9="","",'RAG Run 4'!I9)</f>
        <v>Improved</v>
      </c>
      <c r="H64" s="28" t="str">
        <f>IF('RAG Run 5'!I9="","",'RAG Run 5'!I9)</f>
        <v>Improved</v>
      </c>
      <c r="I64" s="31" t="str">
        <f>IF(AND(D64=E64,E64=F64,F64=G64,G64=H64),"Yes","No")</f>
        <v>Yes</v>
      </c>
    </row>
    <row r="65" spans="1:9" x14ac:dyDescent="0.25">
      <c r="A65" s="32" t="str">
        <f>'RAG Run 1'!D10</f>
        <v>Leadership</v>
      </c>
      <c r="B65" s="33" t="str">
        <f>'RAG Run 1'!E10</f>
        <v>LD1.3</v>
      </c>
      <c r="C65" s="34" t="str">
        <f>'RAG Run 1'!F10</f>
        <v>Encourage Public Engagement and Participation</v>
      </c>
      <c r="D65" s="33" t="str">
        <f>IF('RAG Run 1'!I10="","",'RAG Run 1'!I10)</f>
        <v>No Level</v>
      </c>
      <c r="E65" s="33" t="str">
        <f>IF('RAG Run 2'!I10="","",'RAG Run 2'!I10)</f>
        <v>No Level</v>
      </c>
      <c r="F65" s="33" t="str">
        <f>IF('RAG Run 3'!I10="","",'RAG Run 3'!I10)</f>
        <v>No Level</v>
      </c>
      <c r="G65" s="33" t="str">
        <f>IF('RAG Run 4'!I10="","",'RAG Run 4'!I10)</f>
        <v>No Level</v>
      </c>
      <c r="H65" s="33" t="str">
        <f>IF('RAG Run 5'!I10="","",'RAG Run 5'!I10)</f>
        <v>No Level</v>
      </c>
      <c r="I65" s="36" t="str">
        <f>IF(AND(D65=E65,E65=F65,F65=G65,G65=H65),"Yes","No")</f>
        <v>Yes</v>
      </c>
    </row>
    <row r="66" spans="1:9" x14ac:dyDescent="0.25">
      <c r="A66" s="27" t="str">
        <f>'RAG Run 1'!D11</f>
        <v>Leadership</v>
      </c>
      <c r="B66" s="28" t="str">
        <f>'RAG Run 1'!E11</f>
        <v>LD1.4</v>
      </c>
      <c r="C66" s="29" t="str">
        <f>'RAG Run 1'!F11</f>
        <v>Pursue Byproduct Synergies</v>
      </c>
      <c r="D66" s="28" t="str">
        <f>IF('RAG Run 1'!I11="","",'RAG Run 1'!I11)</f>
        <v>No Level</v>
      </c>
      <c r="E66" s="28" t="str">
        <f>IF('RAG Run 2'!I11="","",'RAG Run 2'!I11)</f>
        <v>No Level</v>
      </c>
      <c r="F66" s="28" t="str">
        <f>IF('RAG Run 3'!I11="","",'RAG Run 3'!I11)</f>
        <v>No Level</v>
      </c>
      <c r="G66" s="28" t="str">
        <f>IF('RAG Run 4'!I11="","",'RAG Run 4'!I11)</f>
        <v>No Level</v>
      </c>
      <c r="H66" s="28" t="str">
        <f>IF('RAG Run 5'!I11="","",'RAG Run 5'!I11)</f>
        <v>No Level</v>
      </c>
      <c r="I66" s="31" t="str">
        <f>IF(AND(D66=E66,E66=F66,F66=G66,G66=H66),"Yes","No")</f>
        <v>Yes</v>
      </c>
    </row>
    <row r="67" spans="1:9" x14ac:dyDescent="0.25">
      <c r="A67" s="32" t="str">
        <f>'RAG Run 1'!D12</f>
        <v>Leadership</v>
      </c>
      <c r="B67" s="33" t="str">
        <f>'RAG Run 1'!E12</f>
        <v>LD2.1</v>
      </c>
      <c r="C67" s="34" t="str">
        <f>'RAG Run 1'!F12</f>
        <v>Establish a Sustainability Management Plan</v>
      </c>
      <c r="D67" s="33" t="str">
        <f>IF('RAG Run 1'!I12="","",'RAG Run 1'!I12)</f>
        <v>No Level</v>
      </c>
      <c r="E67" s="33" t="str">
        <f>IF('RAG Run 2'!I12="","",'RAG Run 2'!I12)</f>
        <v>No Level</v>
      </c>
      <c r="F67" s="33" t="str">
        <f>IF('RAG Run 3'!I12="","",'RAG Run 3'!I12)</f>
        <v>No Level</v>
      </c>
      <c r="G67" s="33" t="str">
        <f>IF('RAG Run 4'!I12="","",'RAG Run 4'!I12)</f>
        <v>No Level</v>
      </c>
      <c r="H67" s="33" t="str">
        <f>IF('RAG Run 5'!I12="","",'RAG Run 5'!I12)</f>
        <v>No Level</v>
      </c>
      <c r="I67" s="36" t="str">
        <f>IF(AND(D67=E67,E67=F67,F67=G67,G67=H67),"Yes","No")</f>
        <v>Yes</v>
      </c>
    </row>
    <row r="68" spans="1:9" x14ac:dyDescent="0.25">
      <c r="A68" s="27" t="str">
        <f>'RAG Run 1'!D13</f>
        <v>Leadership</v>
      </c>
      <c r="B68" s="28" t="str">
        <f>'RAG Run 1'!E13</f>
        <v>LD2.2</v>
      </c>
      <c r="C68" s="29" t="str">
        <f>'RAG Run 1'!F13</f>
        <v>Plan for Sustainable Communities</v>
      </c>
      <c r="D68" s="28" t="str">
        <f>IF('RAG Run 1'!I13="","",'RAG Run 1'!I13)</f>
        <v>No Level</v>
      </c>
      <c r="E68" s="28" t="str">
        <f>IF('RAG Run 2'!I13="","",'RAG Run 2'!I13)</f>
        <v>No Level</v>
      </c>
      <c r="F68" s="28" t="str">
        <f>IF('RAG Run 3'!I13="","",'RAG Run 3'!I13)</f>
        <v>No Level</v>
      </c>
      <c r="G68" s="28" t="str">
        <f>IF('RAG Run 4'!I13="","",'RAG Run 4'!I13)</f>
        <v>No Level</v>
      </c>
      <c r="H68" s="28" t="str">
        <f>IF('RAG Run 5'!I13="","",'RAG Run 5'!I13)</f>
        <v>No Level</v>
      </c>
      <c r="I68" s="31" t="str">
        <f>IF(AND(D68=E68,E68=F68,F68=G68,G68=H68),"Yes","No")</f>
        <v>Yes</v>
      </c>
    </row>
    <row r="69" spans="1:9" x14ac:dyDescent="0.25">
      <c r="A69" s="32" t="str">
        <f>'RAG Run 1'!D14</f>
        <v>Leadership</v>
      </c>
      <c r="B69" s="33" t="str">
        <f>'RAG Run 1'!E14</f>
        <v>LD2.3</v>
      </c>
      <c r="C69" s="34" t="str">
        <f>'RAG Run 1'!F14</f>
        <v>Conduct a Life-Cycle Economic Evaluation</v>
      </c>
      <c r="D69" s="33" t="str">
        <f>IF('RAG Run 1'!I14="","",'RAG Run 1'!I14)</f>
        <v>No Level</v>
      </c>
      <c r="E69" s="33" t="str">
        <f>IF('RAG Run 2'!I14="","",'RAG Run 2'!I14)</f>
        <v>No Level</v>
      </c>
      <c r="F69" s="33" t="str">
        <f>IF('RAG Run 3'!I14="","",'RAG Run 3'!I14)</f>
        <v>No Level</v>
      </c>
      <c r="G69" s="33" t="str">
        <f>IF('RAG Run 4'!I14="","",'RAG Run 4'!I14)</f>
        <v>No Level</v>
      </c>
      <c r="H69" s="33" t="str">
        <f>IF('RAG Run 5'!I14="","",'RAG Run 5'!I14)</f>
        <v>No Level</v>
      </c>
      <c r="I69" s="36" t="str">
        <f>IF(AND(D69=E69,E69=F69,F69=G69,G69=H69),"Yes","No")</f>
        <v>Yes</v>
      </c>
    </row>
    <row r="70" spans="1:9" x14ac:dyDescent="0.25">
      <c r="A70" s="27" t="str">
        <f>'RAG Run 1'!D15</f>
        <v>Leadership</v>
      </c>
      <c r="B70" s="28" t="str">
        <f>'RAG Run 1'!E15</f>
        <v>LD3.1</v>
      </c>
      <c r="C70" s="29" t="str">
        <f>'RAG Run 1'!F15</f>
        <v>Develop a Construction Management Plan</v>
      </c>
      <c r="D70" s="28" t="str">
        <f>IF('RAG Run 1'!I15="","",'RAG Run 1'!I15)</f>
        <v>No Level</v>
      </c>
      <c r="E70" s="28" t="str">
        <f>IF('RAG Run 2'!I15="","",'RAG Run 2'!I15)</f>
        <v>No Level</v>
      </c>
      <c r="F70" s="28" t="str">
        <f>IF('RAG Run 3'!I15="","",'RAG Run 3'!I15)</f>
        <v>No Level</v>
      </c>
      <c r="G70" s="28" t="str">
        <f>IF('RAG Run 4'!I15="","",'RAG Run 4'!I15)</f>
        <v>No Level</v>
      </c>
      <c r="H70" s="28" t="str">
        <f>IF('RAG Run 5'!I15="","",'RAG Run 5'!I15)</f>
        <v>No Level</v>
      </c>
      <c r="I70" s="31" t="str">
        <f>IF(AND(D70=E70,E70=F70,F70=G70,G70=H70),"Yes","No")</f>
        <v>Yes</v>
      </c>
    </row>
    <row r="71" spans="1:9" x14ac:dyDescent="0.25">
      <c r="A71" s="32" t="str">
        <f>'RAG Run 1'!D16</f>
        <v>Leadership</v>
      </c>
      <c r="B71" s="33" t="str">
        <f>'RAG Run 1'!E16</f>
        <v>LD3.2</v>
      </c>
      <c r="C71" s="34" t="str">
        <f>'RAG Run 1'!F16</f>
        <v>Implement a Quality Control and Assurance Plan</v>
      </c>
      <c r="D71" s="33" t="str">
        <f>IF('RAG Run 1'!I16="","",'RAG Run 1'!I16)</f>
        <v>No Level</v>
      </c>
      <c r="E71" s="33" t="str">
        <f>IF('RAG Run 2'!I16="","",'RAG Run 2'!I16)</f>
        <v>No Level</v>
      </c>
      <c r="F71" s="33" t="str">
        <f>IF('RAG Run 3'!I16="","",'RAG Run 3'!I16)</f>
        <v>No Level</v>
      </c>
      <c r="G71" s="33" t="str">
        <f>IF('RAG Run 4'!I16="","",'RAG Run 4'!I16)</f>
        <v>No Level</v>
      </c>
      <c r="H71" s="33" t="str">
        <f>IF('RAG Run 5'!I16="","",'RAG Run 5'!I16)</f>
        <v>No Level</v>
      </c>
      <c r="I71" s="36" t="str">
        <f>IF(AND(D71=E71,E71=F71,F71=G71,G71=H71),"Yes","No")</f>
        <v>Yes</v>
      </c>
    </row>
    <row r="72" spans="1:9" x14ac:dyDescent="0.25">
      <c r="A72" s="27" t="str">
        <f>'RAG Run 1'!D17</f>
        <v>Leadership</v>
      </c>
      <c r="B72" s="28" t="str">
        <f>'RAG Run 1'!E17</f>
        <v>LD3.3</v>
      </c>
      <c r="C72" s="29" t="str">
        <f>'RAG Run 1'!F17</f>
        <v>Conduct a Life-Cycle Assessment</v>
      </c>
      <c r="D72" s="28" t="str">
        <f>IF('RAG Run 1'!I17="","",'RAG Run 1'!I17)</f>
        <v>No Level</v>
      </c>
      <c r="E72" s="28" t="str">
        <f>IF('RAG Run 2'!I17="","",'RAG Run 2'!I17)</f>
        <v>No Level</v>
      </c>
      <c r="F72" s="28" t="str">
        <f>IF('RAG Run 3'!I17="","",'RAG Run 3'!I17)</f>
        <v>No Level</v>
      </c>
      <c r="G72" s="28" t="str">
        <f>IF('RAG Run 4'!I17="","",'RAG Run 4'!I17)</f>
        <v>No Level</v>
      </c>
      <c r="H72" s="28" t="str">
        <f>IF('RAG Run 5'!I17="","",'RAG Run 5'!I17)</f>
        <v>No Level</v>
      </c>
      <c r="I72" s="31" t="str">
        <f>IF(AND(D72=E72,E72=F72,F72=G72,G72=H72),"Yes","No")</f>
        <v>Yes</v>
      </c>
    </row>
    <row r="73" spans="1:9" x14ac:dyDescent="0.25">
      <c r="A73" s="32" t="str">
        <f>'RAG Run 1'!D18</f>
        <v>Natural World</v>
      </c>
      <c r="B73" s="33" t="str">
        <f>'RAG Run 1'!E18</f>
        <v>NW1.1</v>
      </c>
      <c r="C73" s="34" t="str">
        <f>'RAG Run 1'!F18</f>
        <v>Conserve Natural Areas</v>
      </c>
      <c r="D73" s="33" t="str">
        <f>IF('RAG Run 1'!I18="","",'RAG Run 1'!I18)</f>
        <v>No Level</v>
      </c>
      <c r="E73" s="33" t="str">
        <f>IF('RAG Run 2'!I18="","",'RAG Run 2'!I18)</f>
        <v>Improved</v>
      </c>
      <c r="F73" s="33" t="str">
        <f>IF('RAG Run 3'!I18="","",'RAG Run 3'!I18)</f>
        <v>No Level</v>
      </c>
      <c r="G73" s="33" t="str">
        <f>IF('RAG Run 4'!I18="","",'RAG Run 4'!I18)</f>
        <v>No Level</v>
      </c>
      <c r="H73" s="33" t="str">
        <f>IF('RAG Run 5'!I18="","",'RAG Run 5'!I18)</f>
        <v>Improved</v>
      </c>
      <c r="I73" s="36" t="str">
        <f>IF(AND(D73=E73,E73=F73,F73=G73,G73=H73),"Yes","No")</f>
        <v>No</v>
      </c>
    </row>
    <row r="74" spans="1:9" x14ac:dyDescent="0.25">
      <c r="A74" s="27" t="str">
        <f>'RAG Run 1'!D19</f>
        <v>Natural World</v>
      </c>
      <c r="B74" s="28" t="str">
        <f>'RAG Run 1'!E19</f>
        <v>NW1.2</v>
      </c>
      <c r="C74" s="29" t="str">
        <f>'RAG Run 1'!F19</f>
        <v>Provide Wetland and Surface Water Buffers</v>
      </c>
      <c r="D74" s="28" t="str">
        <f>IF('RAG Run 1'!I19="","",'RAG Run 1'!I19)</f>
        <v>No Level</v>
      </c>
      <c r="E74" s="28" t="str">
        <f>IF('RAG Run 2'!I19="","",'RAG Run 2'!I19)</f>
        <v>Improved</v>
      </c>
      <c r="F74" s="28" t="str">
        <f>IF('RAG Run 3'!I19="","",'RAG Run 3'!I19)</f>
        <v>No Level</v>
      </c>
      <c r="G74" s="28" t="str">
        <f>IF('RAG Run 4'!I19="","",'RAG Run 4'!I19)</f>
        <v>No Level</v>
      </c>
      <c r="H74" s="28" t="str">
        <f>IF('RAG Run 5'!I19="","",'RAG Run 5'!I19)</f>
        <v>Improved</v>
      </c>
      <c r="I74" s="31" t="str">
        <f>IF(AND(D74=E74,E74=F74,F74=G74,G74=H74),"Yes","No")</f>
        <v>No</v>
      </c>
    </row>
    <row r="75" spans="1:9" x14ac:dyDescent="0.25">
      <c r="A75" s="32" t="str">
        <f>'RAG Run 1'!D20</f>
        <v>Natural World</v>
      </c>
      <c r="B75" s="33" t="str">
        <f>'RAG Run 1'!E20</f>
        <v>NW2.2</v>
      </c>
      <c r="C75" s="34" t="str">
        <f>'RAG Run 1'!F20</f>
        <v>Manage Stormwater</v>
      </c>
      <c r="D75" s="33" t="str">
        <f>IF('RAG Run 1'!I20="","",'RAG Run 1'!I20)</f>
        <v>No Level</v>
      </c>
      <c r="E75" s="33" t="str">
        <f>IF('RAG Run 2'!I20="","",'RAG Run 2'!I20)</f>
        <v>Improved</v>
      </c>
      <c r="F75" s="33" t="str">
        <f>IF('RAG Run 3'!I20="","",'RAG Run 3'!I20)</f>
        <v>No Level</v>
      </c>
      <c r="G75" s="33" t="str">
        <f>IF('RAG Run 4'!I20="","",'RAG Run 4'!I20)</f>
        <v>Improved</v>
      </c>
      <c r="H75" s="33" t="str">
        <f>IF('RAG Run 5'!I20="","",'RAG Run 5'!I20)</f>
        <v>Improved</v>
      </c>
      <c r="I75" s="36" t="str">
        <f>IF(AND(D75=E75,E75=F75,F75=G75,G75=H75),"Yes","No")</f>
        <v>No</v>
      </c>
    </row>
    <row r="76" spans="1:9" x14ac:dyDescent="0.25">
      <c r="A76" s="27" t="str">
        <f>'RAG Run 1'!D21</f>
        <v>Natural World</v>
      </c>
      <c r="B76" s="28" t="str">
        <f>'RAG Run 1'!E21</f>
        <v>NW2.4</v>
      </c>
      <c r="C76" s="29" t="str">
        <f>'RAG Run 1'!F21</f>
        <v>Protect Surface and Groundwater Quality</v>
      </c>
      <c r="D76" s="28" t="str">
        <f>IF('RAG Run 1'!I21="","",'RAG Run 1'!I21)</f>
        <v>No Level</v>
      </c>
      <c r="E76" s="28" t="str">
        <f>IF('RAG Run 2'!I21="","",'RAG Run 2'!I21)</f>
        <v>Improved</v>
      </c>
      <c r="F76" s="28" t="str">
        <f>IF('RAG Run 3'!I21="","",'RAG Run 3'!I21)</f>
        <v>No Level</v>
      </c>
      <c r="G76" s="28" t="str">
        <f>IF('RAG Run 4'!I21="","",'RAG Run 4'!I21)</f>
        <v>No Level</v>
      </c>
      <c r="H76" s="28" t="str">
        <f>IF('RAG Run 5'!I21="","",'RAG Run 5'!I21)</f>
        <v>Improved</v>
      </c>
      <c r="I76" s="31" t="str">
        <f>IF(AND(D76=E76,E76=F76,F76=G76,G76=H76),"Yes","No")</f>
        <v>No</v>
      </c>
    </row>
    <row r="77" spans="1:9" x14ac:dyDescent="0.25">
      <c r="A77" s="32" t="str">
        <f>'RAG Run 1'!D22</f>
        <v>Natural World</v>
      </c>
      <c r="B77" s="33" t="str">
        <f>'RAG Run 1'!E22</f>
        <v>NW3.3</v>
      </c>
      <c r="C77" s="34" t="str">
        <f>'RAG Run 1'!F22</f>
        <v>Maintain Floodplain Functions</v>
      </c>
      <c r="D77" s="33" t="str">
        <f>IF('RAG Run 1'!I22="","",'RAG Run 1'!I22)</f>
        <v>No Level</v>
      </c>
      <c r="E77" s="33" t="str">
        <f>IF('RAG Run 2'!I22="","",'RAG Run 2'!I22)</f>
        <v>Improved</v>
      </c>
      <c r="F77" s="33" t="str">
        <f>IF('RAG Run 3'!I22="","",'RAG Run 3'!I22)</f>
        <v>No Level</v>
      </c>
      <c r="G77" s="33" t="str">
        <f>IF('RAG Run 4'!I22="","",'RAG Run 4'!I22)</f>
        <v>No Level</v>
      </c>
      <c r="H77" s="33" t="str">
        <f>IF('RAG Run 5'!I22="","",'RAG Run 5'!I22)</f>
        <v>Improved</v>
      </c>
      <c r="I77" s="36" t="str">
        <f>IF(AND(D77=E77,E77=F77,F77=G77,G77=H77),"Yes","No")</f>
        <v>No</v>
      </c>
    </row>
    <row r="78" spans="1:9" x14ac:dyDescent="0.25">
      <c r="A78" s="27" t="str">
        <f>'RAG Run 1'!D23</f>
        <v>Natural World</v>
      </c>
      <c r="B78" s="28" t="str">
        <f>'RAG Run 1'!E23</f>
        <v>NW3.5</v>
      </c>
      <c r="C78" s="29" t="str">
        <f>'RAG Run 1'!F23</f>
        <v>Protect Soil Health</v>
      </c>
      <c r="D78" s="28" t="str">
        <f>IF('RAG Run 1'!I23="","",'RAG Run 1'!I23)</f>
        <v>No Level</v>
      </c>
      <c r="E78" s="28" t="str">
        <f>IF('RAG Run 2'!I23="","",'RAG Run 2'!I23)</f>
        <v>Improved</v>
      </c>
      <c r="F78" s="28" t="str">
        <f>IF('RAG Run 3'!I23="","",'RAG Run 3'!I23)</f>
        <v>No Level</v>
      </c>
      <c r="G78" s="28" t="str">
        <f>IF('RAG Run 4'!I23="","",'RAG Run 4'!I23)</f>
        <v>No Level</v>
      </c>
      <c r="H78" s="28" t="str">
        <f>IF('RAG Run 5'!I23="","",'RAG Run 5'!I23)</f>
        <v>Improved</v>
      </c>
      <c r="I78" s="31" t="str">
        <f>IF(AND(D78=E78,E78=F78,F78=G78,G78=H78),"Yes","No")</f>
        <v>No</v>
      </c>
    </row>
    <row r="79" spans="1:9" x14ac:dyDescent="0.25">
      <c r="A79" s="32" t="str">
        <f>'RAG Run 1'!D24</f>
        <v>Quality Of Life</v>
      </c>
      <c r="B79" s="33" t="str">
        <f>'RAG Run 1'!E24</f>
        <v>QL1.1</v>
      </c>
      <c r="C79" s="34" t="str">
        <f>'RAG Run 1'!F24</f>
        <v>Improve Community Quality of Life</v>
      </c>
      <c r="D79" s="33" t="str">
        <f>IF('RAG Run 1'!I24="","",'RAG Run 1'!I24)</f>
        <v>Improved</v>
      </c>
      <c r="E79" s="33" t="str">
        <f>IF('RAG Run 2'!I24="","",'RAG Run 2'!I24)</f>
        <v>Improved</v>
      </c>
      <c r="F79" s="33" t="str">
        <f>IF('RAG Run 3'!I24="","",'RAG Run 3'!I24)</f>
        <v>Improved</v>
      </c>
      <c r="G79" s="33" t="str">
        <f>IF('RAG Run 4'!I24="","",'RAG Run 4'!I24)</f>
        <v>Improved</v>
      </c>
      <c r="H79" s="33" t="str">
        <f>IF('RAG Run 5'!I24="","",'RAG Run 5'!I24)</f>
        <v>Improved</v>
      </c>
      <c r="I79" s="36" t="str">
        <f>IF(AND(D79=E79,E79=F79,F79=G79,G79=H79),"Yes","No")</f>
        <v>Yes</v>
      </c>
    </row>
    <row r="80" spans="1:9" x14ac:dyDescent="0.25">
      <c r="A80" s="27" t="str">
        <f>'RAG Run 1'!D25</f>
        <v>Quality Of Life</v>
      </c>
      <c r="B80" s="28" t="str">
        <f>'RAG Run 1'!E25</f>
        <v>QL1.2</v>
      </c>
      <c r="C80" s="29" t="str">
        <f>'RAG Run 1'!F25</f>
        <v>Enhance Public Health &amp; Safety</v>
      </c>
      <c r="D80" s="28" t="str">
        <f>IF('RAG Run 1'!I25="","",'RAG Run 1'!I25)</f>
        <v>Improved</v>
      </c>
      <c r="E80" s="28" t="str">
        <f>IF('RAG Run 2'!I25="","",'RAG Run 2'!I25)</f>
        <v>Improved</v>
      </c>
      <c r="F80" s="28" t="str">
        <f>IF('RAG Run 3'!I25="","",'RAG Run 3'!I25)</f>
        <v>Improved</v>
      </c>
      <c r="G80" s="28" t="str">
        <f>IF('RAG Run 4'!I25="","",'RAG Run 4'!I25)</f>
        <v>Improved</v>
      </c>
      <c r="H80" s="28" t="str">
        <f>IF('RAG Run 5'!I25="","",'RAG Run 5'!I25)</f>
        <v>Improved</v>
      </c>
      <c r="I80" s="31" t="str">
        <f>IF(AND(D80=E80,E80=F80,F80=G80,G80=H80),"Yes","No")</f>
        <v>Yes</v>
      </c>
    </row>
    <row r="81" spans="1:9" x14ac:dyDescent="0.25">
      <c r="A81" s="32" t="str">
        <f>'RAG Run 1'!D26</f>
        <v>Quality Of Life</v>
      </c>
      <c r="B81" s="33" t="str">
        <f>'RAG Run 1'!E26</f>
        <v>QL1.3</v>
      </c>
      <c r="C81" s="34" t="str">
        <f>'RAG Run 1'!F26</f>
        <v>Improve Construction Safety</v>
      </c>
      <c r="D81" s="33" t="str">
        <f>IF('RAG Run 1'!I26="","",'RAG Run 1'!I26)</f>
        <v>Improved</v>
      </c>
      <c r="E81" s="33" t="str">
        <f>IF('RAG Run 2'!I26="","",'RAG Run 2'!I26)</f>
        <v>Improved</v>
      </c>
      <c r="F81" s="33" t="str">
        <f>IF('RAG Run 3'!I26="","",'RAG Run 3'!I26)</f>
        <v>Improved</v>
      </c>
      <c r="G81" s="33" t="str">
        <f>IF('RAG Run 4'!I26="","",'RAG Run 4'!I26)</f>
        <v>Improved</v>
      </c>
      <c r="H81" s="33" t="str">
        <f>IF('RAG Run 5'!I26="","",'RAG Run 5'!I26)</f>
        <v>Improved</v>
      </c>
      <c r="I81" s="36" t="str">
        <f>IF(AND(D81=E81,E81=F81,F81=G81,G81=H81),"Yes","No")</f>
        <v>Yes</v>
      </c>
    </row>
    <row r="82" spans="1:9" x14ac:dyDescent="0.25">
      <c r="A82" s="27" t="str">
        <f>'RAG Run 1'!D27</f>
        <v>Quality Of Life</v>
      </c>
      <c r="B82" s="28" t="str">
        <f>'RAG Run 1'!E27</f>
        <v>QL1.4</v>
      </c>
      <c r="C82" s="29" t="str">
        <f>'RAG Run 1'!F27</f>
        <v>Minimize Noise &amp; Vibration</v>
      </c>
      <c r="D82" s="28" t="str">
        <f>IF('RAG Run 1'!I27="","",'RAG Run 1'!I27)</f>
        <v>Improved</v>
      </c>
      <c r="E82" s="28" t="str">
        <f>IF('RAG Run 2'!I27="","",'RAG Run 2'!I27)</f>
        <v>Improved</v>
      </c>
      <c r="F82" s="28" t="str">
        <f>IF('RAG Run 3'!I27="","",'RAG Run 3'!I27)</f>
        <v>Improved</v>
      </c>
      <c r="G82" s="28" t="str">
        <f>IF('RAG Run 4'!I27="","",'RAG Run 4'!I27)</f>
        <v>Improved</v>
      </c>
      <c r="H82" s="28" t="str">
        <f>IF('RAG Run 5'!I27="","",'RAG Run 5'!I27)</f>
        <v>Improved</v>
      </c>
      <c r="I82" s="31" t="str">
        <f>IF(AND(D82=E82,E82=F82,F82=G82,G82=H82),"Yes","No")</f>
        <v>Yes</v>
      </c>
    </row>
    <row r="83" spans="1:9" x14ac:dyDescent="0.25">
      <c r="A83" s="32" t="str">
        <f>'RAG Run 1'!D28</f>
        <v>Quality Of Life</v>
      </c>
      <c r="B83" s="33" t="str">
        <f>'RAG Run 1'!E28</f>
        <v>QL1.5</v>
      </c>
      <c r="C83" s="34" t="str">
        <f>'RAG Run 1'!F28</f>
        <v>Minimize Light Pollution</v>
      </c>
      <c r="D83" s="33" t="str">
        <f>IF('RAG Run 1'!I28="","",'RAG Run 1'!I28)</f>
        <v>Improved</v>
      </c>
      <c r="E83" s="33" t="str">
        <f>IF('RAG Run 2'!I28="","",'RAG Run 2'!I28)</f>
        <v>Improved</v>
      </c>
      <c r="F83" s="33" t="str">
        <f>IF('RAG Run 3'!I28="","",'RAG Run 3'!I28)</f>
        <v>Improved</v>
      </c>
      <c r="G83" s="33" t="str">
        <f>IF('RAG Run 4'!I28="","",'RAG Run 4'!I28)</f>
        <v>Improved</v>
      </c>
      <c r="H83" s="33" t="str">
        <f>IF('RAG Run 5'!I28="","",'RAG Run 5'!I28)</f>
        <v>Improved</v>
      </c>
      <c r="I83" s="36" t="str">
        <f>IF(AND(D83=E83,E83=F83,F83=G83,G83=H83),"Yes","No")</f>
        <v>Yes</v>
      </c>
    </row>
    <row r="84" spans="1:9" x14ac:dyDescent="0.25">
      <c r="A84" s="27" t="str">
        <f>'RAG Run 1'!D29</f>
        <v>Quality Of Life</v>
      </c>
      <c r="B84" s="28" t="str">
        <f>'RAG Run 1'!E29</f>
        <v>QL1.6</v>
      </c>
      <c r="C84" s="29" t="str">
        <f>'RAG Run 1'!F29</f>
        <v>Minimize Construction Impacts</v>
      </c>
      <c r="D84" s="28" t="str">
        <f>IF('RAG Run 1'!I29="","",'RAG Run 1'!I29)</f>
        <v>Improved</v>
      </c>
      <c r="E84" s="28" t="str">
        <f>IF('RAG Run 2'!I29="","",'RAG Run 2'!I29)</f>
        <v>Improved</v>
      </c>
      <c r="F84" s="28" t="str">
        <f>IF('RAG Run 3'!I29="","",'RAG Run 3'!I29)</f>
        <v>Improved</v>
      </c>
      <c r="G84" s="28" t="str">
        <f>IF('RAG Run 4'!I29="","",'RAG Run 4'!I29)</f>
        <v>Improved</v>
      </c>
      <c r="H84" s="28" t="str">
        <f>IF('RAG Run 5'!I29="","",'RAG Run 5'!I29)</f>
        <v>Improved</v>
      </c>
      <c r="I84" s="31" t="str">
        <f>IF(AND(D84=E84,E84=F84,F84=G84,G84=H84),"Yes","No")</f>
        <v>Yes</v>
      </c>
    </row>
    <row r="85" spans="1:9" x14ac:dyDescent="0.25">
      <c r="A85" s="32" t="str">
        <f>'RAG Run 1'!D30</f>
        <v>Quality Of Life</v>
      </c>
      <c r="B85" s="33" t="str">
        <f>'RAG Run 1'!E30</f>
        <v>QL2.1</v>
      </c>
      <c r="C85" s="34" t="str">
        <f>'RAG Run 1'!F30</f>
        <v>Improve Community Mobility</v>
      </c>
      <c r="D85" s="33" t="str">
        <f>IF('RAG Run 1'!I30="","",'RAG Run 1'!I30)</f>
        <v>Improved</v>
      </c>
      <c r="E85" s="33" t="str">
        <f>IF('RAG Run 2'!I30="","",'RAG Run 2'!I30)</f>
        <v>Improved</v>
      </c>
      <c r="F85" s="33" t="str">
        <f>IF('RAG Run 3'!I30="","",'RAG Run 3'!I30)</f>
        <v>Improved</v>
      </c>
      <c r="G85" s="33" t="str">
        <f>IF('RAG Run 4'!I30="","",'RAG Run 4'!I30)</f>
        <v>Improved</v>
      </c>
      <c r="H85" s="33" t="str">
        <f>IF('RAG Run 5'!I30="","",'RAG Run 5'!I30)</f>
        <v>Improved</v>
      </c>
      <c r="I85" s="36" t="str">
        <f>IF(AND(D85=E85,E85=F85,F85=G85,G85=H85),"Yes","No")</f>
        <v>Yes</v>
      </c>
    </row>
    <row r="86" spans="1:9" x14ac:dyDescent="0.25">
      <c r="A86" s="27" t="str">
        <f>'RAG Run 1'!D31</f>
        <v>Quality Of Life</v>
      </c>
      <c r="B86" s="28" t="str">
        <f>'RAG Run 1'!E31</f>
        <v>QL2.2</v>
      </c>
      <c r="C86" s="29" t="str">
        <f>'RAG Run 1'!F31</f>
        <v>Encourage Sustainable Transportation</v>
      </c>
      <c r="D86" s="28" t="str">
        <f>IF('RAG Run 1'!I31="","",'RAG Run 1'!I31)</f>
        <v>Improved</v>
      </c>
      <c r="E86" s="28" t="str">
        <f>IF('RAG Run 2'!I31="","",'RAG Run 2'!I31)</f>
        <v>Improved</v>
      </c>
      <c r="F86" s="28" t="str">
        <f>IF('RAG Run 3'!I31="","",'RAG Run 3'!I31)</f>
        <v>Improved</v>
      </c>
      <c r="G86" s="28" t="str">
        <f>IF('RAG Run 4'!I31="","",'RAG Run 4'!I31)</f>
        <v>Improved</v>
      </c>
      <c r="H86" s="28" t="str">
        <f>IF('RAG Run 5'!I31="","",'RAG Run 5'!I31)</f>
        <v>Improved</v>
      </c>
      <c r="I86" s="31" t="str">
        <f>IF(AND(D86=E86,E86=F86,F86=G86,G86=H86),"Yes","No")</f>
        <v>Yes</v>
      </c>
    </row>
    <row r="87" spans="1:9" x14ac:dyDescent="0.25">
      <c r="A87" s="32" t="str">
        <f>'RAG Run 1'!D32</f>
        <v>Quality Of Life</v>
      </c>
      <c r="B87" s="33" t="str">
        <f>'RAG Run 1'!E32</f>
        <v>QL2.3</v>
      </c>
      <c r="C87" s="34" t="str">
        <f>'RAG Run 1'!F32</f>
        <v>Improve Access &amp; Wayfinding</v>
      </c>
      <c r="D87" s="33" t="str">
        <f>IF('RAG Run 1'!I32="","",'RAG Run 1'!I32)</f>
        <v>Improved</v>
      </c>
      <c r="E87" s="33" t="str">
        <f>IF('RAG Run 2'!I32="","",'RAG Run 2'!I32)</f>
        <v>Improved</v>
      </c>
      <c r="F87" s="33" t="str">
        <f>IF('RAG Run 3'!I32="","",'RAG Run 3'!I32)</f>
        <v>Improved</v>
      </c>
      <c r="G87" s="33" t="str">
        <f>IF('RAG Run 4'!I32="","",'RAG Run 4'!I32)</f>
        <v>Improved</v>
      </c>
      <c r="H87" s="33" t="str">
        <f>IF('RAG Run 5'!I32="","",'RAG Run 5'!I32)</f>
        <v>Improved</v>
      </c>
      <c r="I87" s="36" t="str">
        <f>IF(AND(D87=E87,E87=F87,F87=G87,G87=H87),"Yes","No")</f>
        <v>Yes</v>
      </c>
    </row>
    <row r="88" spans="1:9" x14ac:dyDescent="0.25">
      <c r="A88" s="27" t="str">
        <f>'RAG Run 1'!D33</f>
        <v>Quality Of Life</v>
      </c>
      <c r="B88" s="28" t="str">
        <f>'RAG Run 1'!E33</f>
        <v>QL3.1</v>
      </c>
      <c r="C88" s="29" t="str">
        <f>'RAG Run 1'!F33</f>
        <v>Advance Equity &amp; Social Justice</v>
      </c>
      <c r="D88" s="28" t="str">
        <f>IF('RAG Run 1'!I33="","",'RAG Run 1'!I33)</f>
        <v>Improved</v>
      </c>
      <c r="E88" s="28" t="str">
        <f>IF('RAG Run 2'!I33="","",'RAG Run 2'!I33)</f>
        <v>Improved</v>
      </c>
      <c r="F88" s="28" t="str">
        <f>IF('RAG Run 3'!I33="","",'RAG Run 3'!I33)</f>
        <v>Improved</v>
      </c>
      <c r="G88" s="28" t="str">
        <f>IF('RAG Run 4'!I33="","",'RAG Run 4'!I33)</f>
        <v>Improved</v>
      </c>
      <c r="H88" s="28" t="str">
        <f>IF('RAG Run 5'!I33="","",'RAG Run 5'!I33)</f>
        <v>Improved</v>
      </c>
      <c r="I88" s="31" t="str">
        <f>IF(AND(D88=E88,E88=F88,F88=G88,G88=H88),"Yes","No")</f>
        <v>Yes</v>
      </c>
    </row>
    <row r="89" spans="1:9" x14ac:dyDescent="0.25">
      <c r="A89" s="32" t="str">
        <f>'RAG Run 1'!D34</f>
        <v>Quality Of Life</v>
      </c>
      <c r="B89" s="33" t="str">
        <f>'RAG Run 1'!E34</f>
        <v>QL3.2</v>
      </c>
      <c r="C89" s="34" t="str">
        <f>'RAG Run 1'!F34</f>
        <v>Preserve Historic &amp; Cultural Resources</v>
      </c>
      <c r="D89" s="33" t="str">
        <f>IF('RAG Run 1'!I34="","",'RAG Run 1'!I34)</f>
        <v/>
      </c>
      <c r="E89" s="33" t="str">
        <f>IF('RAG Run 2'!I34="","",'RAG Run 2'!I34)</f>
        <v>Improved</v>
      </c>
      <c r="F89" s="33" t="str">
        <f>IF('RAG Run 3'!I34="","",'RAG Run 3'!I34)</f>
        <v>Improved</v>
      </c>
      <c r="G89" s="33" t="str">
        <f>IF('RAG Run 4'!I34="","",'RAG Run 4'!I34)</f>
        <v/>
      </c>
      <c r="H89" s="33" t="str">
        <f>IF('RAG Run 5'!I34="","",'RAG Run 5'!I34)</f>
        <v/>
      </c>
      <c r="I89" s="36" t="str">
        <f>IF(AND(D89=E89,E89=F89,F89=G89,G89=H89),"Yes","No")</f>
        <v>No</v>
      </c>
    </row>
    <row r="90" spans="1:9" x14ac:dyDescent="0.25">
      <c r="A90" s="27" t="str">
        <f>'RAG Run 1'!D35</f>
        <v>Quality Of Life</v>
      </c>
      <c r="B90" s="28" t="str">
        <f>'RAG Run 1'!E35</f>
        <v>QL3.3</v>
      </c>
      <c r="C90" s="29" t="str">
        <f>'RAG Run 1'!F35</f>
        <v>Enhance Views &amp; Local Character</v>
      </c>
      <c r="D90" s="28" t="str">
        <f>IF('RAG Run 1'!I35="","",'RAG Run 1'!I35)</f>
        <v>Improved</v>
      </c>
      <c r="E90" s="28" t="str">
        <f>IF('RAG Run 2'!I35="","",'RAG Run 2'!I35)</f>
        <v>Improved</v>
      </c>
      <c r="F90" s="28" t="str">
        <f>IF('RAG Run 3'!I35="","",'RAG Run 3'!I35)</f>
        <v>Improved</v>
      </c>
      <c r="G90" s="28" t="str">
        <f>IF('RAG Run 4'!I35="","",'RAG Run 4'!I35)</f>
        <v>Improved</v>
      </c>
      <c r="H90" s="28" t="str">
        <f>IF('RAG Run 5'!I35="","",'RAG Run 5'!I35)</f>
        <v>Improved</v>
      </c>
      <c r="I90" s="31" t="str">
        <f>IF(AND(D90=E90,E90=F90,F90=G90,G90=H90),"Yes","No")</f>
        <v>Yes</v>
      </c>
    </row>
    <row r="91" spans="1:9" x14ac:dyDescent="0.25">
      <c r="A91" s="32" t="str">
        <f>'RAG Run 1'!D36</f>
        <v>Resource Allocation</v>
      </c>
      <c r="B91" s="33" t="str">
        <f>'RAG Run 1'!E36</f>
        <v>RA1.1</v>
      </c>
      <c r="C91" s="34" t="str">
        <f>'RAG Run 1'!F36</f>
        <v>Reduce Materials Use</v>
      </c>
      <c r="D91" s="33" t="str">
        <f>IF('RAG Run 1'!I36="","",'RAG Run 1'!I36)</f>
        <v>No Level</v>
      </c>
      <c r="E91" s="33" t="str">
        <f>IF('RAG Run 2'!I36="","",'RAG Run 2'!I36)</f>
        <v>No Level</v>
      </c>
      <c r="F91" s="33" t="str">
        <f>IF('RAG Run 3'!I36="","",'RAG Run 3'!I36)</f>
        <v>No Level</v>
      </c>
      <c r="G91" s="33" t="str">
        <f>IF('RAG Run 4'!I36="","",'RAG Run 4'!I36)</f>
        <v>No Level</v>
      </c>
      <c r="H91" s="33" t="str">
        <f>IF('RAG Run 5'!I36="","",'RAG Run 5'!I36)</f>
        <v>No Level</v>
      </c>
      <c r="I91" s="36" t="str">
        <f>IF(AND(D91=E91,E91=F91,F91=G91,G91=H91),"Yes","No")</f>
        <v>Yes</v>
      </c>
    </row>
    <row r="92" spans="1:9" x14ac:dyDescent="0.25">
      <c r="A92" s="27" t="str">
        <f>'RAG Run 1'!D37</f>
        <v>Resource Allocation</v>
      </c>
      <c r="B92" s="28" t="str">
        <f>'RAG Run 1'!E37</f>
        <v>RA1.2</v>
      </c>
      <c r="C92" s="29" t="str">
        <f>'RAG Run 1'!F37</f>
        <v>Use Recycled Materials</v>
      </c>
      <c r="D92" s="28" t="str">
        <f>IF('RAG Run 1'!I37="","",'RAG Run 1'!I37)</f>
        <v>No Level</v>
      </c>
      <c r="E92" s="28" t="str">
        <f>IF('RAG Run 2'!I37="","",'RAG Run 2'!I37)</f>
        <v>No Level</v>
      </c>
      <c r="F92" s="28" t="str">
        <f>IF('RAG Run 3'!I37="","",'RAG Run 3'!I37)</f>
        <v>No Level</v>
      </c>
      <c r="G92" s="28" t="str">
        <f>IF('RAG Run 4'!I37="","",'RAG Run 4'!I37)</f>
        <v>No Level</v>
      </c>
      <c r="H92" s="28" t="str">
        <f>IF('RAG Run 5'!I37="","",'RAG Run 5'!I37)</f>
        <v>No Level</v>
      </c>
      <c r="I92" s="31" t="str">
        <f>IF(AND(D92=E92,E92=F92,F92=G92,G92=H92),"Yes","No")</f>
        <v>Yes</v>
      </c>
    </row>
    <row r="93" spans="1:9" x14ac:dyDescent="0.25">
      <c r="A93" s="32" t="str">
        <f>'RAG Run 1'!D38</f>
        <v>Resource Allocation</v>
      </c>
      <c r="B93" s="33" t="str">
        <f>'RAG Run 1'!E38</f>
        <v>RA1.3</v>
      </c>
      <c r="C93" s="34" t="str">
        <f>'RAG Run 1'!F38</f>
        <v>Reduce Operational Waste</v>
      </c>
      <c r="D93" s="33" t="str">
        <f>IF('RAG Run 1'!I38="","",'RAG Run 1'!I38)</f>
        <v>No Level</v>
      </c>
      <c r="E93" s="33" t="str">
        <f>IF('RAG Run 2'!I38="","",'RAG Run 2'!I38)</f>
        <v>No Level</v>
      </c>
      <c r="F93" s="33" t="str">
        <f>IF('RAG Run 3'!I38="","",'RAG Run 3'!I38)</f>
        <v>No Level</v>
      </c>
      <c r="G93" s="33" t="str">
        <f>IF('RAG Run 4'!I38="","",'RAG Run 4'!I38)</f>
        <v>No Level</v>
      </c>
      <c r="H93" s="33" t="str">
        <f>IF('RAG Run 5'!I38="","",'RAG Run 5'!I38)</f>
        <v>No Level</v>
      </c>
      <c r="I93" s="36" t="str">
        <f>IF(AND(D93=E93,E93=F93,F93=G93,G93=H93),"Yes","No")</f>
        <v>Yes</v>
      </c>
    </row>
    <row r="94" spans="1:9" x14ac:dyDescent="0.25">
      <c r="A94" s="27" t="str">
        <f>'RAG Run 1'!D39</f>
        <v>Resource Allocation</v>
      </c>
      <c r="B94" s="28" t="str">
        <f>'RAG Run 1'!E39</f>
        <v>RA1.4</v>
      </c>
      <c r="C94" s="29" t="str">
        <f>'RAG Run 1'!F39</f>
        <v>Reduce Construction Waste</v>
      </c>
      <c r="D94" s="28" t="str">
        <f>IF('RAG Run 1'!I39="","",'RAG Run 1'!I39)</f>
        <v>No Level</v>
      </c>
      <c r="E94" s="28" t="str">
        <f>IF('RAG Run 2'!I39="","",'RAG Run 2'!I39)</f>
        <v>No Level</v>
      </c>
      <c r="F94" s="28" t="str">
        <f>IF('RAG Run 3'!I39="","",'RAG Run 3'!I39)</f>
        <v>No Level</v>
      </c>
      <c r="G94" s="28" t="str">
        <f>IF('RAG Run 4'!I39="","",'RAG Run 4'!I39)</f>
        <v>No Level</v>
      </c>
      <c r="H94" s="28" t="str">
        <f>IF('RAG Run 5'!I39="","",'RAG Run 5'!I39)</f>
        <v>No Level</v>
      </c>
      <c r="I94" s="31" t="str">
        <f>IF(AND(D94=E94,E94=F94,F94=G94,G94=H94),"Yes","No")</f>
        <v>Yes</v>
      </c>
    </row>
    <row r="95" spans="1:9" x14ac:dyDescent="0.25">
      <c r="A95" s="32" t="str">
        <f>'RAG Run 1'!D40</f>
        <v>Resource Allocation</v>
      </c>
      <c r="B95" s="33" t="str">
        <f>'RAG Run 1'!E40</f>
        <v>RA1.5</v>
      </c>
      <c r="C95" s="34" t="str">
        <f>'RAG Run 1'!F40</f>
        <v>Balance Earthwork On Site</v>
      </c>
      <c r="D95" s="33" t="str">
        <f>IF('RAG Run 1'!I40="","",'RAG Run 1'!I40)</f>
        <v>No Level</v>
      </c>
      <c r="E95" s="33" t="str">
        <f>IF('RAG Run 2'!I40="","",'RAG Run 2'!I40)</f>
        <v>No Level</v>
      </c>
      <c r="F95" s="33" t="str">
        <f>IF('RAG Run 3'!I40="","",'RAG Run 3'!I40)</f>
        <v>No Level</v>
      </c>
      <c r="G95" s="33" t="str">
        <f>IF('RAG Run 4'!I40="","",'RAG Run 4'!I40)</f>
        <v>No Level</v>
      </c>
      <c r="H95" s="33" t="str">
        <f>IF('RAG Run 5'!I40="","",'RAG Run 5'!I40)</f>
        <v>No Level</v>
      </c>
      <c r="I95" s="36" t="str">
        <f>IF(AND(D95=E95,E95=F95,F95=G95,G95=H95),"Yes","No")</f>
        <v>Yes</v>
      </c>
    </row>
    <row r="96" spans="1:9" x14ac:dyDescent="0.25">
      <c r="A96" s="27" t="str">
        <f>'RAG Run 1'!D41</f>
        <v>Resource Allocation</v>
      </c>
      <c r="B96" s="28" t="str">
        <f>'RAG Run 1'!E41</f>
        <v>RA2.1</v>
      </c>
      <c r="C96" s="29" t="str">
        <f>'RAG Run 1'!F41</f>
        <v>Reduce Operational Energy Consumption</v>
      </c>
      <c r="D96" s="28" t="str">
        <f>IF('RAG Run 1'!I41="","",'RAG Run 1'!I41)</f>
        <v>No Level</v>
      </c>
      <c r="E96" s="28" t="str">
        <f>IF('RAG Run 2'!I41="","",'RAG Run 2'!I41)</f>
        <v>No Level</v>
      </c>
      <c r="F96" s="28" t="str">
        <f>IF('RAG Run 3'!I41="","",'RAG Run 3'!I41)</f>
        <v>No Level</v>
      </c>
      <c r="G96" s="28" t="str">
        <f>IF('RAG Run 4'!I41="","",'RAG Run 4'!I41)</f>
        <v>No Level</v>
      </c>
      <c r="H96" s="28" t="str">
        <f>IF('RAG Run 5'!I41="","",'RAG Run 5'!I41)</f>
        <v>No Level</v>
      </c>
      <c r="I96" s="31" t="str">
        <f>IF(AND(D96=E96,E96=F96,F96=G96,G96=H96),"Yes","No")</f>
        <v>Yes</v>
      </c>
    </row>
    <row r="97" spans="1:9" x14ac:dyDescent="0.25">
      <c r="A97" s="32" t="str">
        <f>'RAG Run 1'!D42</f>
        <v>Resource Allocation</v>
      </c>
      <c r="B97" s="33" t="str">
        <f>'RAG Run 1'!E42</f>
        <v>RA2.2</v>
      </c>
      <c r="C97" s="34" t="str">
        <f>'RAG Run 1'!F42</f>
        <v>Reduce Construction Energy Consumption</v>
      </c>
      <c r="D97" s="33" t="str">
        <f>IF('RAG Run 1'!I42="","",'RAG Run 1'!I42)</f>
        <v>No Level</v>
      </c>
      <c r="E97" s="33" t="str">
        <f>IF('RAG Run 2'!I42="","",'RAG Run 2'!I42)</f>
        <v>No Level</v>
      </c>
      <c r="F97" s="33" t="str">
        <f>IF('RAG Run 3'!I42="","",'RAG Run 3'!I42)</f>
        <v>No Level</v>
      </c>
      <c r="G97" s="33" t="str">
        <f>IF('RAG Run 4'!I42="","",'RAG Run 4'!I42)</f>
        <v>No Level</v>
      </c>
      <c r="H97" s="33" t="str">
        <f>IF('RAG Run 5'!I42="","",'RAG Run 5'!I42)</f>
        <v>No Level</v>
      </c>
      <c r="I97" s="36" t="str">
        <f>IF(AND(D97=E97,E97=F97,F97=G97,G97=H97),"Yes","No")</f>
        <v>Yes</v>
      </c>
    </row>
    <row r="98" spans="1:9" x14ac:dyDescent="0.25">
      <c r="A98" s="27" t="str">
        <f>'RAG Run 1'!D43</f>
        <v>Resource Allocation</v>
      </c>
      <c r="B98" s="28" t="str">
        <f>'RAG Run 1'!E43</f>
        <v>RA2.3</v>
      </c>
      <c r="C98" s="29" t="str">
        <f>'RAG Run 1'!F43</f>
        <v>Use Renewable Energy</v>
      </c>
      <c r="D98" s="28" t="str">
        <f>IF('RAG Run 1'!I43="","",'RAG Run 1'!I43)</f>
        <v>No Level</v>
      </c>
      <c r="E98" s="28" t="str">
        <f>IF('RAG Run 2'!I43="","",'RAG Run 2'!I43)</f>
        <v>No Level</v>
      </c>
      <c r="F98" s="28" t="str">
        <f>IF('RAG Run 3'!I43="","",'RAG Run 3'!I43)</f>
        <v>No Level</v>
      </c>
      <c r="G98" s="28" t="str">
        <f>IF('RAG Run 4'!I43="","",'RAG Run 4'!I43)</f>
        <v>No Level</v>
      </c>
      <c r="H98" s="28" t="str">
        <f>IF('RAG Run 5'!I43="","",'RAG Run 5'!I43)</f>
        <v>No Level</v>
      </c>
      <c r="I98" s="31" t="str">
        <f>IF(AND(D98=E98,E98=F98,F98=G98,G98=H98),"Yes","No")</f>
        <v>Yes</v>
      </c>
    </row>
    <row r="99" spans="1:9" x14ac:dyDescent="0.25">
      <c r="A99" s="32" t="str">
        <f>'RAG Run 1'!D44</f>
        <v>Resource Allocation</v>
      </c>
      <c r="B99" s="33" t="str">
        <f>'RAG Run 1'!E44</f>
        <v>RA2.4</v>
      </c>
      <c r="C99" s="34" t="str">
        <f>'RAG Run 1'!F44</f>
        <v>Commission and Monitor Energy Systems</v>
      </c>
      <c r="D99" s="33" t="str">
        <f>IF('RAG Run 1'!I44="","",'RAG Run 1'!I44)</f>
        <v>No Level</v>
      </c>
      <c r="E99" s="33" t="str">
        <f>IF('RAG Run 2'!I44="","",'RAG Run 2'!I44)</f>
        <v>No Level</v>
      </c>
      <c r="F99" s="33" t="str">
        <f>IF('RAG Run 3'!I44="","",'RAG Run 3'!I44)</f>
        <v>No Level</v>
      </c>
      <c r="G99" s="33" t="str">
        <f>IF('RAG Run 4'!I44="","",'RAG Run 4'!I44)</f>
        <v>No Level</v>
      </c>
      <c r="H99" s="33" t="str">
        <f>IF('RAG Run 5'!I44="","",'RAG Run 5'!I44)</f>
        <v>No Level</v>
      </c>
      <c r="I99" s="36" t="str">
        <f>IF(AND(D99=E99,E99=F99,F99=G99,G99=H99),"Yes","No")</f>
        <v>Yes</v>
      </c>
    </row>
    <row r="100" spans="1:9" x14ac:dyDescent="0.25">
      <c r="A100" s="27" t="str">
        <f>'RAG Run 1'!D45</f>
        <v>Resource Allocation</v>
      </c>
      <c r="B100" s="28" t="str">
        <f>'RAG Run 1'!E45</f>
        <v>RA3.1</v>
      </c>
      <c r="C100" s="29" t="str">
        <f>'RAG Run 1'!F45</f>
        <v>Preserve Water Resources</v>
      </c>
      <c r="D100" s="28" t="str">
        <f>IF('RAG Run 1'!I45="","",'RAG Run 1'!I45)</f>
        <v>No Level</v>
      </c>
      <c r="E100" s="28" t="str">
        <f>IF('RAG Run 2'!I45="","",'RAG Run 2'!I45)</f>
        <v>No Level</v>
      </c>
      <c r="F100" s="28" t="str">
        <f>IF('RAG Run 3'!I45="","",'RAG Run 3'!I45)</f>
        <v>No Level</v>
      </c>
      <c r="G100" s="28" t="str">
        <f>IF('RAG Run 4'!I45="","",'RAG Run 4'!I45)</f>
        <v>No Level</v>
      </c>
      <c r="H100" s="28" t="str">
        <f>IF('RAG Run 5'!I45="","",'RAG Run 5'!I45)</f>
        <v>No Level</v>
      </c>
      <c r="I100" s="31" t="str">
        <f>IF(AND(D100=E100,E100=F100,F100=G100,G100=H100),"Yes","No")</f>
        <v>Yes</v>
      </c>
    </row>
    <row r="101" spans="1:9" x14ac:dyDescent="0.25">
      <c r="A101" s="32" t="str">
        <f>'RAG Run 1'!D46</f>
        <v>Resource Allocation</v>
      </c>
      <c r="B101" s="33" t="str">
        <f>'RAG Run 1'!E46</f>
        <v>RA3.2</v>
      </c>
      <c r="C101" s="34" t="str">
        <f>'RAG Run 1'!F46</f>
        <v>Reduce Operational Water Consumption</v>
      </c>
      <c r="D101" s="33" t="str">
        <f>IF('RAG Run 1'!I46="","",'RAG Run 1'!I46)</f>
        <v>No Level</v>
      </c>
      <c r="E101" s="33" t="str">
        <f>IF('RAG Run 2'!I46="","",'RAG Run 2'!I46)</f>
        <v>No Level</v>
      </c>
      <c r="F101" s="33" t="str">
        <f>IF('RAG Run 3'!I46="","",'RAG Run 3'!I46)</f>
        <v>No Level</v>
      </c>
      <c r="G101" s="33" t="str">
        <f>IF('RAG Run 4'!I46="","",'RAG Run 4'!I46)</f>
        <v>No Level</v>
      </c>
      <c r="H101" s="33" t="str">
        <f>IF('RAG Run 5'!I46="","",'RAG Run 5'!I46)</f>
        <v>No Level</v>
      </c>
      <c r="I101" s="36" t="str">
        <f>IF(AND(D101=E101,E101=F101,F101=G101,G101=H101),"Yes","No")</f>
        <v>Yes</v>
      </c>
    </row>
    <row r="102" spans="1:9" x14ac:dyDescent="0.25">
      <c r="A102" s="27" t="str">
        <f>'RAG Run 1'!D47</f>
        <v>Resource Allocation</v>
      </c>
      <c r="B102" s="28" t="str">
        <f>'RAG Run 1'!E47</f>
        <v>RA3.3</v>
      </c>
      <c r="C102" s="29" t="str">
        <f>'RAG Run 1'!F47</f>
        <v>Reduce Construction Water Consumption</v>
      </c>
      <c r="D102" s="28" t="str">
        <f>IF('RAG Run 1'!I47="","",'RAG Run 1'!I47)</f>
        <v>No Level</v>
      </c>
      <c r="E102" s="28" t="str">
        <f>IF('RAG Run 2'!I47="","",'RAG Run 2'!I47)</f>
        <v>No Level</v>
      </c>
      <c r="F102" s="28" t="str">
        <f>IF('RAG Run 3'!I47="","",'RAG Run 3'!I47)</f>
        <v>No Level</v>
      </c>
      <c r="G102" s="28" t="str">
        <f>IF('RAG Run 4'!I47="","",'RAG Run 4'!I47)</f>
        <v>No Level</v>
      </c>
      <c r="H102" s="28" t="str">
        <f>IF('RAG Run 5'!I47="","",'RAG Run 5'!I47)</f>
        <v>No Level</v>
      </c>
      <c r="I102" s="31" t="str">
        <f>IF(AND(D102=E102,E102=F102,F102=G102,G102=H102),"Yes","No")</f>
        <v>Yes</v>
      </c>
    </row>
    <row r="103" spans="1:9" ht="15.75" thickBot="1" x14ac:dyDescent="0.3">
      <c r="A103" s="37" t="str">
        <f>'RAG Run 1'!D48</f>
        <v>Resource Allocation</v>
      </c>
      <c r="B103" s="38" t="str">
        <f>'RAG Run 1'!E48</f>
        <v>RA3.4</v>
      </c>
      <c r="C103" s="39" t="str">
        <f>'RAG Run 1'!F48</f>
        <v>Monitor Water Systems</v>
      </c>
      <c r="D103" s="38" t="str">
        <f>IF('RAG Run 1'!I48="","",'RAG Run 1'!I48)</f>
        <v>No Level</v>
      </c>
      <c r="E103" s="38" t="str">
        <f>IF('RAG Run 2'!I48="","",'RAG Run 2'!I48)</f>
        <v>No Level</v>
      </c>
      <c r="F103" s="38" t="str">
        <f>IF('RAG Run 3'!I48="","",'RAG Run 3'!I48)</f>
        <v>No Level</v>
      </c>
      <c r="G103" s="38" t="str">
        <f>IF('RAG Run 4'!I48="","",'RAG Run 4'!I48)</f>
        <v>No Level</v>
      </c>
      <c r="H103" s="38" t="str">
        <f>IF('RAG Run 5'!I48="","",'RAG Run 5'!I48)</f>
        <v>No Level</v>
      </c>
      <c r="I103" s="41" t="str">
        <f>IF(AND(D103=E103,E103=F103,F103=G103,G103=H103),"Yes","No")</f>
        <v>Yes</v>
      </c>
    </row>
    <row r="105" spans="1:9" x14ac:dyDescent="0.25">
      <c r="A105" s="20" t="s">
        <v>9</v>
      </c>
      <c r="B105" s="20"/>
      <c r="C105" s="20"/>
      <c r="D105" s="20"/>
      <c r="E105" s="20"/>
      <c r="F105" s="20"/>
      <c r="G105" s="20"/>
      <c r="H105" s="20"/>
      <c r="I105" s="20"/>
    </row>
    <row r="106" spans="1:9" ht="15.75" thickBot="1" x14ac:dyDescent="0.3">
      <c r="A106" s="21" t="s">
        <v>3</v>
      </c>
      <c r="B106" s="21" t="s">
        <v>4</v>
      </c>
      <c r="C106" s="21" t="s">
        <v>5</v>
      </c>
      <c r="D106" s="21" t="s">
        <v>1068</v>
      </c>
      <c r="E106" s="21" t="s">
        <v>1069</v>
      </c>
      <c r="F106" s="21" t="s">
        <v>1070</v>
      </c>
      <c r="G106" s="21" t="s">
        <v>1071</v>
      </c>
      <c r="H106" s="21" t="s">
        <v>1072</v>
      </c>
      <c r="I106" s="21" t="s">
        <v>1073</v>
      </c>
    </row>
    <row r="107" spans="1:9" x14ac:dyDescent="0.25">
      <c r="A107" s="22" t="str">
        <f>'RAG Run 1'!D2</f>
        <v>Climate And Resilience</v>
      </c>
      <c r="B107" s="23" t="str">
        <f>'RAG Run 1'!E2</f>
        <v>CR2.1</v>
      </c>
      <c r="C107" s="24" t="str">
        <f>'RAG Run 1'!F2</f>
        <v>Avoid Unsuitable Development</v>
      </c>
      <c r="D107" s="25">
        <f>IF('RAG Run 1'!J2="","",'RAG Run 1'!J2)</f>
        <v>0</v>
      </c>
      <c r="E107" s="25">
        <f>IF('RAG Run 2'!J2="","",'RAG Run 2'!J2)</f>
        <v>0</v>
      </c>
      <c r="F107" s="25">
        <f>IF('RAG Run 3'!J2="","",'RAG Run 3'!J2)</f>
        <v>0</v>
      </c>
      <c r="G107" s="25">
        <f>IF('RAG Run 4'!J2="","",'RAG Run 4'!J2)</f>
        <v>0</v>
      </c>
      <c r="H107" s="25">
        <f>IF('RAG Run 5'!J2="","",'RAG Run 5'!J2)</f>
        <v>0</v>
      </c>
      <c r="I107" s="26" t="str">
        <f>IF(AND(D107=E107,E107=F107,F107=G107,G107=H107),"Yes","No")</f>
        <v>Yes</v>
      </c>
    </row>
    <row r="108" spans="1:9" x14ac:dyDescent="0.25">
      <c r="A108" s="27" t="str">
        <f>'RAG Run 1'!D3</f>
        <v>Climate And Resilience</v>
      </c>
      <c r="B108" s="28" t="str">
        <f>'RAG Run 1'!E3</f>
        <v>CR2.2</v>
      </c>
      <c r="C108" s="29" t="str">
        <f>'RAG Run 1'!F3</f>
        <v>Assess Climate Change Vulnerability</v>
      </c>
      <c r="D108" s="30">
        <f>IF('RAG Run 1'!J3="","",'RAG Run 1'!J3)</f>
        <v>8</v>
      </c>
      <c r="E108" s="30">
        <f>IF('RAG Run 2'!J3="","",'RAG Run 2'!J3)</f>
        <v>0</v>
      </c>
      <c r="F108" s="30">
        <f>IF('RAG Run 3'!J3="","",'RAG Run 3'!J3)</f>
        <v>0</v>
      </c>
      <c r="G108" s="30">
        <f>IF('RAG Run 4'!J3="","",'RAG Run 4'!J3)</f>
        <v>0</v>
      </c>
      <c r="H108" s="30">
        <f>IF('RAG Run 5'!J3="","",'RAG Run 5'!J3)</f>
        <v>0</v>
      </c>
      <c r="I108" s="31" t="str">
        <f>IF(AND(D108=E108,E108=F108,F108=G108,G108=H108),"Yes","No")</f>
        <v>No</v>
      </c>
    </row>
    <row r="109" spans="1:9" x14ac:dyDescent="0.25">
      <c r="A109" s="32" t="str">
        <f>'RAG Run 1'!D4</f>
        <v>Climate And Resilience</v>
      </c>
      <c r="B109" s="33" t="str">
        <f>'RAG Run 1'!E4</f>
        <v>CR2.3</v>
      </c>
      <c r="C109" s="34" t="str">
        <f>'RAG Run 1'!F4</f>
        <v>Evaluate Risk and Resilience</v>
      </c>
      <c r="D109" s="35">
        <f>IF('RAG Run 1'!J4="","",'RAG Run 1'!J4)</f>
        <v>0</v>
      </c>
      <c r="E109" s="35">
        <f>IF('RAG Run 2'!J4="","",'RAG Run 2'!J4)</f>
        <v>0</v>
      </c>
      <c r="F109" s="35">
        <f>IF('RAG Run 3'!J4="","",'RAG Run 3'!J4)</f>
        <v>0</v>
      </c>
      <c r="G109" s="35">
        <f>IF('RAG Run 4'!J4="","",'RAG Run 4'!J4)</f>
        <v>0</v>
      </c>
      <c r="H109" s="35">
        <f>IF('RAG Run 5'!J4="","",'RAG Run 5'!J4)</f>
        <v>0</v>
      </c>
      <c r="I109" s="36" t="str">
        <f>IF(AND(D109=E109,E109=F109,F109=G109,G109=H109),"Yes","No")</f>
        <v>Yes</v>
      </c>
    </row>
    <row r="110" spans="1:9" x14ac:dyDescent="0.25">
      <c r="A110" s="27" t="str">
        <f>'RAG Run 1'!D5</f>
        <v>Climate And Resilience</v>
      </c>
      <c r="B110" s="28" t="str">
        <f>'RAG Run 1'!E5</f>
        <v>CR2.4</v>
      </c>
      <c r="C110" s="29" t="str">
        <f>'RAG Run 1'!F5</f>
        <v>Establish Resilience Goals and Strategies</v>
      </c>
      <c r="D110" s="30">
        <f>IF('RAG Run 1'!J5="","",'RAG Run 1'!J5)</f>
        <v>0</v>
      </c>
      <c r="E110" s="30">
        <f>IF('RAG Run 2'!J5="","",'RAG Run 2'!J5)</f>
        <v>0</v>
      </c>
      <c r="F110" s="30">
        <f>IF('RAG Run 3'!J5="","",'RAG Run 3'!J5)</f>
        <v>0</v>
      </c>
      <c r="G110" s="30">
        <f>IF('RAG Run 4'!J5="","",'RAG Run 4'!J5)</f>
        <v>0</v>
      </c>
      <c r="H110" s="30">
        <f>IF('RAG Run 5'!J5="","",'RAG Run 5'!J5)</f>
        <v>0</v>
      </c>
      <c r="I110" s="31" t="str">
        <f>IF(AND(D110=E110,E110=F110,F110=G110,G110=H110),"Yes","No")</f>
        <v>Yes</v>
      </c>
    </row>
    <row r="111" spans="1:9" x14ac:dyDescent="0.25">
      <c r="A111" s="32" t="str">
        <f>'RAG Run 1'!D6</f>
        <v>Climate And Resilience</v>
      </c>
      <c r="B111" s="33" t="str">
        <f>'RAG Run 1'!E6</f>
        <v>CR2.5</v>
      </c>
      <c r="C111" s="34" t="str">
        <f>'RAG Run 1'!F6</f>
        <v>Maximize Resilience</v>
      </c>
      <c r="D111" s="35">
        <f>IF('RAG Run 1'!J6="","",'RAG Run 1'!J6)</f>
        <v>0</v>
      </c>
      <c r="E111" s="35">
        <f>IF('RAG Run 2'!J6="","",'RAG Run 2'!J6)</f>
        <v>0</v>
      </c>
      <c r="F111" s="35">
        <f>IF('RAG Run 3'!J6="","",'RAG Run 3'!J6)</f>
        <v>0</v>
      </c>
      <c r="G111" s="35">
        <f>IF('RAG Run 4'!J6="","",'RAG Run 4'!J6)</f>
        <v>0</v>
      </c>
      <c r="H111" s="35">
        <f>IF('RAG Run 5'!J6="","",'RAG Run 5'!J6)</f>
        <v>0</v>
      </c>
      <c r="I111" s="36" t="str">
        <f>IF(AND(D111=E111,E111=F111,F111=G111,G111=H111),"Yes","No")</f>
        <v>Yes</v>
      </c>
    </row>
    <row r="112" spans="1:9" x14ac:dyDescent="0.25">
      <c r="A112" s="27" t="str">
        <f>'RAG Run 1'!D7</f>
        <v>Climate And Resilience</v>
      </c>
      <c r="B112" s="28" t="str">
        <f>'RAG Run 1'!E7</f>
        <v>CR2.6</v>
      </c>
      <c r="C112" s="29" t="str">
        <f>'RAG Run 1'!F7</f>
        <v>Improve Infrastructure Integration</v>
      </c>
      <c r="D112" s="30">
        <f>IF('RAG Run 1'!J7="","",'RAG Run 1'!J7)</f>
        <v>0</v>
      </c>
      <c r="E112" s="30">
        <f>IF('RAG Run 2'!J7="","",'RAG Run 2'!J7)</f>
        <v>0</v>
      </c>
      <c r="F112" s="30">
        <f>IF('RAG Run 3'!J7="","",'RAG Run 3'!J7)</f>
        <v>0</v>
      </c>
      <c r="G112" s="30">
        <f>IF('RAG Run 4'!J7="","",'RAG Run 4'!J7)</f>
        <v>0</v>
      </c>
      <c r="H112" s="30">
        <f>IF('RAG Run 5'!J7="","",'RAG Run 5'!J7)</f>
        <v>0</v>
      </c>
      <c r="I112" s="31" t="str">
        <f>IF(AND(D112=E112,E112=F112,F112=G112,G112=H112),"Yes","No")</f>
        <v>Yes</v>
      </c>
    </row>
    <row r="113" spans="1:9" x14ac:dyDescent="0.25">
      <c r="A113" s="32" t="str">
        <f>'RAG Run 1'!D8</f>
        <v>Leadership</v>
      </c>
      <c r="B113" s="33" t="str">
        <f>'RAG Run 1'!E8</f>
        <v>LD1.1</v>
      </c>
      <c r="C113" s="34" t="str">
        <f>'RAG Run 1'!F8</f>
        <v>Provide Effective Leadership and Commitment</v>
      </c>
      <c r="D113" s="35">
        <f>IF('RAG Run 1'!J8="","",'RAG Run 1'!J8)</f>
        <v>2</v>
      </c>
      <c r="E113" s="35">
        <f>IF('RAG Run 2'!J8="","",'RAG Run 2'!J8)</f>
        <v>2</v>
      </c>
      <c r="F113" s="35">
        <f>IF('RAG Run 3'!J8="","",'RAG Run 3'!J8)</f>
        <v>2</v>
      </c>
      <c r="G113" s="35">
        <f>IF('RAG Run 4'!J8="","",'RAG Run 4'!J8)</f>
        <v>2</v>
      </c>
      <c r="H113" s="35">
        <f>IF('RAG Run 5'!J8="","",'RAG Run 5'!J8)</f>
        <v>2</v>
      </c>
      <c r="I113" s="36" t="str">
        <f>IF(AND(D113=E113,E113=F113,F113=G113,G113=H113),"Yes","No")</f>
        <v>Yes</v>
      </c>
    </row>
    <row r="114" spans="1:9" x14ac:dyDescent="0.25">
      <c r="A114" s="27" t="str">
        <f>'RAG Run 1'!D9</f>
        <v>Leadership</v>
      </c>
      <c r="B114" s="28" t="str">
        <f>'RAG Run 1'!E9</f>
        <v>LD1.2</v>
      </c>
      <c r="C114" s="29" t="str">
        <f>'RAG Run 1'!F9</f>
        <v>Foster Collaboration and Teamwork</v>
      </c>
      <c r="D114" s="30">
        <f>IF('RAG Run 1'!J9="","",'RAG Run 1'!J9)</f>
        <v>2</v>
      </c>
      <c r="E114" s="30">
        <f>IF('RAG Run 2'!J9="","",'RAG Run 2'!J9)</f>
        <v>2</v>
      </c>
      <c r="F114" s="30">
        <f>IF('RAG Run 3'!J9="","",'RAG Run 3'!J9)</f>
        <v>2</v>
      </c>
      <c r="G114" s="30">
        <f>IF('RAG Run 4'!J9="","",'RAG Run 4'!J9)</f>
        <v>2</v>
      </c>
      <c r="H114" s="30">
        <f>IF('RAG Run 5'!J9="","",'RAG Run 5'!J9)</f>
        <v>2</v>
      </c>
      <c r="I114" s="31" t="str">
        <f>IF(AND(D114=E114,E114=F114,F114=G114,G114=H114),"Yes","No")</f>
        <v>Yes</v>
      </c>
    </row>
    <row r="115" spans="1:9" x14ac:dyDescent="0.25">
      <c r="A115" s="32" t="str">
        <f>'RAG Run 1'!D10</f>
        <v>Leadership</v>
      </c>
      <c r="B115" s="33" t="str">
        <f>'RAG Run 1'!E10</f>
        <v>LD1.3</v>
      </c>
      <c r="C115" s="34" t="str">
        <f>'RAG Run 1'!F10</f>
        <v>Encourage Public Engagement and Participation</v>
      </c>
      <c r="D115" s="35">
        <f>IF('RAG Run 1'!J10="","",'RAG Run 1'!J10)</f>
        <v>0</v>
      </c>
      <c r="E115" s="35">
        <f>IF('RAG Run 2'!J10="","",'RAG Run 2'!J10)</f>
        <v>0</v>
      </c>
      <c r="F115" s="35">
        <f>IF('RAG Run 3'!J10="","",'RAG Run 3'!J10)</f>
        <v>0</v>
      </c>
      <c r="G115" s="35">
        <f>IF('RAG Run 4'!J10="","",'RAG Run 4'!J10)</f>
        <v>0</v>
      </c>
      <c r="H115" s="35">
        <f>IF('RAG Run 5'!J10="","",'RAG Run 5'!J10)</f>
        <v>0</v>
      </c>
      <c r="I115" s="36" t="str">
        <f>IF(AND(D115=E115,E115=F115,F115=G115,G115=H115),"Yes","No")</f>
        <v>Yes</v>
      </c>
    </row>
    <row r="116" spans="1:9" x14ac:dyDescent="0.25">
      <c r="A116" s="27" t="str">
        <f>'RAG Run 1'!D11</f>
        <v>Leadership</v>
      </c>
      <c r="B116" s="28" t="str">
        <f>'RAG Run 1'!E11</f>
        <v>LD1.4</v>
      </c>
      <c r="C116" s="29" t="str">
        <f>'RAG Run 1'!F11</f>
        <v>Pursue Byproduct Synergies</v>
      </c>
      <c r="D116" s="30">
        <f>IF('RAG Run 1'!J11="","",'RAG Run 1'!J11)</f>
        <v>0</v>
      </c>
      <c r="E116" s="30">
        <f>IF('RAG Run 2'!J11="","",'RAG Run 2'!J11)</f>
        <v>0</v>
      </c>
      <c r="F116" s="30">
        <f>IF('RAG Run 3'!J11="","",'RAG Run 3'!J11)</f>
        <v>0</v>
      </c>
      <c r="G116" s="30">
        <f>IF('RAG Run 4'!J11="","",'RAG Run 4'!J11)</f>
        <v>0</v>
      </c>
      <c r="H116" s="30">
        <f>IF('RAG Run 5'!J11="","",'RAG Run 5'!J11)</f>
        <v>0</v>
      </c>
      <c r="I116" s="31" t="str">
        <f>IF(AND(D116=E116,E116=F116,F116=G116,G116=H116),"Yes","No")</f>
        <v>Yes</v>
      </c>
    </row>
    <row r="117" spans="1:9" x14ac:dyDescent="0.25">
      <c r="A117" s="32" t="str">
        <f>'RAG Run 1'!D12</f>
        <v>Leadership</v>
      </c>
      <c r="B117" s="33" t="str">
        <f>'RAG Run 1'!E12</f>
        <v>LD2.1</v>
      </c>
      <c r="C117" s="34" t="str">
        <f>'RAG Run 1'!F12</f>
        <v>Establish a Sustainability Management Plan</v>
      </c>
      <c r="D117" s="35">
        <f>IF('RAG Run 1'!J12="","",'RAG Run 1'!J12)</f>
        <v>0</v>
      </c>
      <c r="E117" s="35">
        <f>IF('RAG Run 2'!J12="","",'RAG Run 2'!J12)</f>
        <v>0</v>
      </c>
      <c r="F117" s="35">
        <f>IF('RAG Run 3'!J12="","",'RAG Run 3'!J12)</f>
        <v>0</v>
      </c>
      <c r="G117" s="35">
        <f>IF('RAG Run 4'!J12="","",'RAG Run 4'!J12)</f>
        <v>0</v>
      </c>
      <c r="H117" s="35">
        <f>IF('RAG Run 5'!J12="","",'RAG Run 5'!J12)</f>
        <v>0</v>
      </c>
      <c r="I117" s="36" t="str">
        <f>IF(AND(D117=E117,E117=F117,F117=G117,G117=H117),"Yes","No")</f>
        <v>Yes</v>
      </c>
    </row>
    <row r="118" spans="1:9" x14ac:dyDescent="0.25">
      <c r="A118" s="27" t="str">
        <f>'RAG Run 1'!D13</f>
        <v>Leadership</v>
      </c>
      <c r="B118" s="28" t="str">
        <f>'RAG Run 1'!E13</f>
        <v>LD2.2</v>
      </c>
      <c r="C118" s="29" t="str">
        <f>'RAG Run 1'!F13</f>
        <v>Plan for Sustainable Communities</v>
      </c>
      <c r="D118" s="30">
        <f>IF('RAG Run 1'!J13="","",'RAG Run 1'!J13)</f>
        <v>0</v>
      </c>
      <c r="E118" s="30">
        <f>IF('RAG Run 2'!J13="","",'RAG Run 2'!J13)</f>
        <v>0</v>
      </c>
      <c r="F118" s="30">
        <f>IF('RAG Run 3'!J13="","",'RAG Run 3'!J13)</f>
        <v>0</v>
      </c>
      <c r="G118" s="30">
        <f>IF('RAG Run 4'!J13="","",'RAG Run 4'!J13)</f>
        <v>0</v>
      </c>
      <c r="H118" s="30">
        <f>IF('RAG Run 5'!J13="","",'RAG Run 5'!J13)</f>
        <v>0</v>
      </c>
      <c r="I118" s="31" t="str">
        <f>IF(AND(D118=E118,E118=F118,F118=G118,G118=H118),"Yes","No")</f>
        <v>Yes</v>
      </c>
    </row>
    <row r="119" spans="1:9" x14ac:dyDescent="0.25">
      <c r="A119" s="32" t="str">
        <f>'RAG Run 1'!D14</f>
        <v>Leadership</v>
      </c>
      <c r="B119" s="33" t="str">
        <f>'RAG Run 1'!E14</f>
        <v>LD2.3</v>
      </c>
      <c r="C119" s="34" t="str">
        <f>'RAG Run 1'!F14</f>
        <v>Conduct a Life-Cycle Economic Evaluation</v>
      </c>
      <c r="D119" s="35">
        <f>IF('RAG Run 1'!J14="","",'RAG Run 1'!J14)</f>
        <v>0</v>
      </c>
      <c r="E119" s="35">
        <f>IF('RAG Run 2'!J14="","",'RAG Run 2'!J14)</f>
        <v>0</v>
      </c>
      <c r="F119" s="35">
        <f>IF('RAG Run 3'!J14="","",'RAG Run 3'!J14)</f>
        <v>0</v>
      </c>
      <c r="G119" s="35">
        <f>IF('RAG Run 4'!J14="","",'RAG Run 4'!J14)</f>
        <v>0</v>
      </c>
      <c r="H119" s="35">
        <f>IF('RAG Run 5'!J14="","",'RAG Run 5'!J14)</f>
        <v>0</v>
      </c>
      <c r="I119" s="36" t="str">
        <f>IF(AND(D119=E119,E119=F119,F119=G119,G119=H119),"Yes","No")</f>
        <v>Yes</v>
      </c>
    </row>
    <row r="120" spans="1:9" x14ac:dyDescent="0.25">
      <c r="A120" s="27" t="str">
        <f>'RAG Run 1'!D15</f>
        <v>Leadership</v>
      </c>
      <c r="B120" s="28" t="str">
        <f>'RAG Run 1'!E15</f>
        <v>LD3.1</v>
      </c>
      <c r="C120" s="29" t="str">
        <f>'RAG Run 1'!F15</f>
        <v>Develop a Construction Management Plan</v>
      </c>
      <c r="D120" s="30">
        <f>IF('RAG Run 1'!J15="","",'RAG Run 1'!J15)</f>
        <v>0</v>
      </c>
      <c r="E120" s="30">
        <f>IF('RAG Run 2'!J15="","",'RAG Run 2'!J15)</f>
        <v>0</v>
      </c>
      <c r="F120" s="30">
        <f>IF('RAG Run 3'!J15="","",'RAG Run 3'!J15)</f>
        <v>0</v>
      </c>
      <c r="G120" s="30">
        <f>IF('RAG Run 4'!J15="","",'RAG Run 4'!J15)</f>
        <v>0</v>
      </c>
      <c r="H120" s="30">
        <f>IF('RAG Run 5'!J15="","",'RAG Run 5'!J15)</f>
        <v>0</v>
      </c>
      <c r="I120" s="31" t="str">
        <f>IF(AND(D120=E120,E120=F120,F120=G120,G120=H120),"Yes","No")</f>
        <v>Yes</v>
      </c>
    </row>
    <row r="121" spans="1:9" x14ac:dyDescent="0.25">
      <c r="A121" s="32" t="str">
        <f>'RAG Run 1'!D16</f>
        <v>Leadership</v>
      </c>
      <c r="B121" s="33" t="str">
        <f>'RAG Run 1'!E16</f>
        <v>LD3.2</v>
      </c>
      <c r="C121" s="34" t="str">
        <f>'RAG Run 1'!F16</f>
        <v>Implement a Quality Control and Assurance Plan</v>
      </c>
      <c r="D121" s="35">
        <f>IF('RAG Run 1'!J16="","",'RAG Run 1'!J16)</f>
        <v>0</v>
      </c>
      <c r="E121" s="35">
        <f>IF('RAG Run 2'!J16="","",'RAG Run 2'!J16)</f>
        <v>0</v>
      </c>
      <c r="F121" s="35">
        <f>IF('RAG Run 3'!J16="","",'RAG Run 3'!J16)</f>
        <v>0</v>
      </c>
      <c r="G121" s="35">
        <f>IF('RAG Run 4'!J16="","",'RAG Run 4'!J16)</f>
        <v>0</v>
      </c>
      <c r="H121" s="35">
        <f>IF('RAG Run 5'!J16="","",'RAG Run 5'!J16)</f>
        <v>0</v>
      </c>
      <c r="I121" s="36" t="str">
        <f>IF(AND(D121=E121,E121=F121,F121=G121,G121=H121),"Yes","No")</f>
        <v>Yes</v>
      </c>
    </row>
    <row r="122" spans="1:9" x14ac:dyDescent="0.25">
      <c r="A122" s="27" t="str">
        <f>'RAG Run 1'!D17</f>
        <v>Leadership</v>
      </c>
      <c r="B122" s="28" t="str">
        <f>'RAG Run 1'!E17</f>
        <v>LD3.3</v>
      </c>
      <c r="C122" s="29" t="str">
        <f>'RAG Run 1'!F17</f>
        <v>Conduct a Life-Cycle Assessment</v>
      </c>
      <c r="D122" s="30">
        <f>IF('RAG Run 1'!J17="","",'RAG Run 1'!J17)</f>
        <v>0</v>
      </c>
      <c r="E122" s="30">
        <f>IF('RAG Run 2'!J17="","",'RAG Run 2'!J17)</f>
        <v>0</v>
      </c>
      <c r="F122" s="30">
        <f>IF('RAG Run 3'!J17="","",'RAG Run 3'!J17)</f>
        <v>0</v>
      </c>
      <c r="G122" s="30">
        <f>IF('RAG Run 4'!J17="","",'RAG Run 4'!J17)</f>
        <v>0</v>
      </c>
      <c r="H122" s="30">
        <f>IF('RAG Run 5'!J17="","",'RAG Run 5'!J17)</f>
        <v>0</v>
      </c>
      <c r="I122" s="31" t="str">
        <f>IF(AND(D122=E122,E122=F122,F122=G122,G122=H122),"Yes","No")</f>
        <v>Yes</v>
      </c>
    </row>
    <row r="123" spans="1:9" x14ac:dyDescent="0.25">
      <c r="A123" s="32" t="str">
        <f>'RAG Run 1'!D18</f>
        <v>Natural World</v>
      </c>
      <c r="B123" s="33" t="str">
        <f>'RAG Run 1'!E18</f>
        <v>NW1.1</v>
      </c>
      <c r="C123" s="34" t="str">
        <f>'RAG Run 1'!F18</f>
        <v>Conserve Natural Areas</v>
      </c>
      <c r="D123" s="35">
        <f>IF('RAG Run 1'!J18="","",'RAG Run 1'!J18)</f>
        <v>0</v>
      </c>
      <c r="E123" s="35">
        <f>IF('RAG Run 2'!J18="","",'RAG Run 2'!J18)</f>
        <v>2</v>
      </c>
      <c r="F123" s="35">
        <f>IF('RAG Run 3'!J18="","",'RAG Run 3'!J18)</f>
        <v>0</v>
      </c>
      <c r="G123" s="35">
        <f>IF('RAG Run 4'!J18="","",'RAG Run 4'!J18)</f>
        <v>0</v>
      </c>
      <c r="H123" s="35">
        <f>IF('RAG Run 5'!J18="","",'RAG Run 5'!J18)</f>
        <v>2</v>
      </c>
      <c r="I123" s="36" t="str">
        <f>IF(AND(D123=E123,E123=F123,F123=G123,G123=H123),"Yes","No")</f>
        <v>No</v>
      </c>
    </row>
    <row r="124" spans="1:9" x14ac:dyDescent="0.25">
      <c r="A124" s="27" t="str">
        <f>'RAG Run 1'!D19</f>
        <v>Natural World</v>
      </c>
      <c r="B124" s="28" t="str">
        <f>'RAG Run 1'!E19</f>
        <v>NW1.2</v>
      </c>
      <c r="C124" s="29" t="str">
        <f>'RAG Run 1'!F19</f>
        <v>Provide Wetland and Surface Water Buffers</v>
      </c>
      <c r="D124" s="30">
        <f>IF('RAG Run 1'!J19="","",'RAG Run 1'!J19)</f>
        <v>0</v>
      </c>
      <c r="E124" s="30">
        <f>IF('RAG Run 2'!J19="","",'RAG Run 2'!J19)</f>
        <v>2</v>
      </c>
      <c r="F124" s="30">
        <f>IF('RAG Run 3'!J19="","",'RAG Run 3'!J19)</f>
        <v>0</v>
      </c>
      <c r="G124" s="30">
        <f>IF('RAG Run 4'!J19="","",'RAG Run 4'!J19)</f>
        <v>0</v>
      </c>
      <c r="H124" s="30">
        <f>IF('RAG Run 5'!J19="","",'RAG Run 5'!J19)</f>
        <v>2</v>
      </c>
      <c r="I124" s="31" t="str">
        <f>IF(AND(D124=E124,E124=F124,F124=G124,G124=H124),"Yes","No")</f>
        <v>No</v>
      </c>
    </row>
    <row r="125" spans="1:9" x14ac:dyDescent="0.25">
      <c r="A125" s="32" t="str">
        <f>'RAG Run 1'!D20</f>
        <v>Natural World</v>
      </c>
      <c r="B125" s="33" t="str">
        <f>'RAG Run 1'!E20</f>
        <v>NW2.2</v>
      </c>
      <c r="C125" s="34" t="str">
        <f>'RAG Run 1'!F20</f>
        <v>Manage Stormwater</v>
      </c>
      <c r="D125" s="35">
        <f>IF('RAG Run 1'!J20="","",'RAG Run 1'!J20)</f>
        <v>0</v>
      </c>
      <c r="E125" s="35">
        <f>IF('RAG Run 2'!J20="","",'RAG Run 2'!J20)</f>
        <v>2</v>
      </c>
      <c r="F125" s="35">
        <f>IF('RAG Run 3'!J20="","",'RAG Run 3'!J20)</f>
        <v>0</v>
      </c>
      <c r="G125" s="35">
        <f>IF('RAG Run 4'!J20="","",'RAG Run 4'!J20)</f>
        <v>2</v>
      </c>
      <c r="H125" s="35">
        <f>IF('RAG Run 5'!J20="","",'RAG Run 5'!J20)</f>
        <v>2</v>
      </c>
      <c r="I125" s="36" t="str">
        <f>IF(AND(D125=E125,E125=F125,F125=G125,G125=H125),"Yes","No")</f>
        <v>No</v>
      </c>
    </row>
    <row r="126" spans="1:9" x14ac:dyDescent="0.25">
      <c r="A126" s="27" t="str">
        <f>'RAG Run 1'!D21</f>
        <v>Natural World</v>
      </c>
      <c r="B126" s="28" t="str">
        <f>'RAG Run 1'!E21</f>
        <v>NW2.4</v>
      </c>
      <c r="C126" s="29" t="str">
        <f>'RAG Run 1'!F21</f>
        <v>Protect Surface and Groundwater Quality</v>
      </c>
      <c r="D126" s="30">
        <f>IF('RAG Run 1'!J21="","",'RAG Run 1'!J21)</f>
        <v>0</v>
      </c>
      <c r="E126" s="30">
        <f>IF('RAG Run 2'!J21="","",'RAG Run 2'!J21)</f>
        <v>1</v>
      </c>
      <c r="F126" s="30">
        <f>IF('RAG Run 3'!J21="","",'RAG Run 3'!J21)</f>
        <v>0</v>
      </c>
      <c r="G126" s="30">
        <f>IF('RAG Run 4'!J21="","",'RAG Run 4'!J21)</f>
        <v>0</v>
      </c>
      <c r="H126" s="30">
        <f>IF('RAG Run 5'!J21="","",'RAG Run 5'!J21)</f>
        <v>1</v>
      </c>
      <c r="I126" s="31" t="str">
        <f>IF(AND(D126=E126,E126=F126,F126=G126,G126=H126),"Yes","No")</f>
        <v>No</v>
      </c>
    </row>
    <row r="127" spans="1:9" x14ac:dyDescent="0.25">
      <c r="A127" s="32" t="str">
        <f>'RAG Run 1'!D22</f>
        <v>Natural World</v>
      </c>
      <c r="B127" s="33" t="str">
        <f>'RAG Run 1'!E22</f>
        <v>NW3.3</v>
      </c>
      <c r="C127" s="34" t="str">
        <f>'RAG Run 1'!F22</f>
        <v>Maintain Floodplain Functions</v>
      </c>
      <c r="D127" s="35">
        <f>IF('RAG Run 1'!J22="","",'RAG Run 1'!J22)</f>
        <v>0</v>
      </c>
      <c r="E127" s="35">
        <f>IF('RAG Run 2'!J22="","",'RAG Run 2'!J22)</f>
        <v>1</v>
      </c>
      <c r="F127" s="35">
        <f>IF('RAG Run 3'!J22="","",'RAG Run 3'!J22)</f>
        <v>0</v>
      </c>
      <c r="G127" s="35">
        <f>IF('RAG Run 4'!J22="","",'RAG Run 4'!J22)</f>
        <v>0</v>
      </c>
      <c r="H127" s="35">
        <f>IF('RAG Run 5'!J22="","",'RAG Run 5'!J22)</f>
        <v>1</v>
      </c>
      <c r="I127" s="36" t="str">
        <f>IF(AND(D127=E127,E127=F127,F127=G127,G127=H127),"Yes","No")</f>
        <v>No</v>
      </c>
    </row>
    <row r="128" spans="1:9" x14ac:dyDescent="0.25">
      <c r="A128" s="27" t="str">
        <f>'RAG Run 1'!D23</f>
        <v>Natural World</v>
      </c>
      <c r="B128" s="28" t="str">
        <f>'RAG Run 1'!E23</f>
        <v>NW3.5</v>
      </c>
      <c r="C128" s="29" t="str">
        <f>'RAG Run 1'!F23</f>
        <v>Protect Soil Health</v>
      </c>
      <c r="D128" s="30">
        <f>IF('RAG Run 1'!J23="","",'RAG Run 1'!J23)</f>
        <v>0</v>
      </c>
      <c r="E128" s="30">
        <f>IF('RAG Run 2'!J23="","",'RAG Run 2'!J23)</f>
        <v>2</v>
      </c>
      <c r="F128" s="30">
        <f>IF('RAG Run 3'!J23="","",'RAG Run 3'!J23)</f>
        <v>0</v>
      </c>
      <c r="G128" s="30">
        <f>IF('RAG Run 4'!J23="","",'RAG Run 4'!J23)</f>
        <v>0</v>
      </c>
      <c r="H128" s="30">
        <f>IF('RAG Run 5'!J23="","",'RAG Run 5'!J23)</f>
        <v>1</v>
      </c>
      <c r="I128" s="31" t="str">
        <f>IF(AND(D128=E128,E128=F128,F128=G128,G128=H128),"Yes","No")</f>
        <v>No</v>
      </c>
    </row>
    <row r="129" spans="1:9" x14ac:dyDescent="0.25">
      <c r="A129" s="32" t="str">
        <f>'RAG Run 1'!D24</f>
        <v>Quality Of Life</v>
      </c>
      <c r="B129" s="33" t="str">
        <f>'RAG Run 1'!E24</f>
        <v>QL1.1</v>
      </c>
      <c r="C129" s="34" t="str">
        <f>'RAG Run 1'!F24</f>
        <v>Improve Community Quality of Life</v>
      </c>
      <c r="D129" s="35">
        <f>IF('RAG Run 1'!J24="","",'RAG Run 1'!J24)</f>
        <v>2</v>
      </c>
      <c r="E129" s="35">
        <f>IF('RAG Run 2'!J24="","",'RAG Run 2'!J24)</f>
        <v>5</v>
      </c>
      <c r="F129" s="35">
        <f>IF('RAG Run 3'!J24="","",'RAG Run 3'!J24)</f>
        <v>5</v>
      </c>
      <c r="G129" s="35">
        <f>IF('RAG Run 4'!J24="","",'RAG Run 4'!J24)</f>
        <v>2</v>
      </c>
      <c r="H129" s="35">
        <f>IF('RAG Run 5'!J24="","",'RAG Run 5'!J24)</f>
        <v>2</v>
      </c>
      <c r="I129" s="36" t="str">
        <f>IF(AND(D129=E129,E129=F129,F129=G129,G129=H129),"Yes","No")</f>
        <v>No</v>
      </c>
    </row>
    <row r="130" spans="1:9" x14ac:dyDescent="0.25">
      <c r="A130" s="27" t="str">
        <f>'RAG Run 1'!D25</f>
        <v>Quality Of Life</v>
      </c>
      <c r="B130" s="28" t="str">
        <f>'RAG Run 1'!E25</f>
        <v>QL1.2</v>
      </c>
      <c r="C130" s="29" t="str">
        <f>'RAG Run 1'!F25</f>
        <v>Enhance Public Health &amp; Safety</v>
      </c>
      <c r="D130" s="30">
        <f>IF('RAG Run 1'!J25="","",'RAG Run 1'!J25)</f>
        <v>2</v>
      </c>
      <c r="E130" s="30">
        <f>IF('RAG Run 2'!J25="","",'RAG Run 2'!J25)</f>
        <v>7</v>
      </c>
      <c r="F130" s="30">
        <f>IF('RAG Run 3'!J25="","",'RAG Run 3'!J25)</f>
        <v>7</v>
      </c>
      <c r="G130" s="30">
        <f>IF('RAG Run 4'!J25="","",'RAG Run 4'!J25)</f>
        <v>2</v>
      </c>
      <c r="H130" s="30">
        <f>IF('RAG Run 5'!J25="","",'RAG Run 5'!J25)</f>
        <v>2</v>
      </c>
      <c r="I130" s="31" t="str">
        <f>IF(AND(D130=E130,E130=F130,F130=G130,G130=H130),"Yes","No")</f>
        <v>No</v>
      </c>
    </row>
    <row r="131" spans="1:9" x14ac:dyDescent="0.25">
      <c r="A131" s="32" t="str">
        <f>'RAG Run 1'!D26</f>
        <v>Quality Of Life</v>
      </c>
      <c r="B131" s="33" t="str">
        <f>'RAG Run 1'!E26</f>
        <v>QL1.3</v>
      </c>
      <c r="C131" s="34" t="str">
        <f>'RAG Run 1'!F26</f>
        <v>Improve Construction Safety</v>
      </c>
      <c r="D131" s="35">
        <f>IF('RAG Run 1'!J26="","",'RAG Run 1'!J26)</f>
        <v>2</v>
      </c>
      <c r="E131" s="35">
        <f>IF('RAG Run 2'!J26="","",'RAG Run 2'!J26)</f>
        <v>5</v>
      </c>
      <c r="F131" s="35">
        <f>IF('RAG Run 3'!J26="","",'RAG Run 3'!J26)</f>
        <v>5</v>
      </c>
      <c r="G131" s="35">
        <f>IF('RAG Run 4'!J26="","",'RAG Run 4'!J26)</f>
        <v>2</v>
      </c>
      <c r="H131" s="35">
        <f>IF('RAG Run 5'!J26="","",'RAG Run 5'!J26)</f>
        <v>2</v>
      </c>
      <c r="I131" s="36" t="str">
        <f>IF(AND(D131=E131,E131=F131,F131=G131,G131=H131),"Yes","No")</f>
        <v>No</v>
      </c>
    </row>
    <row r="132" spans="1:9" x14ac:dyDescent="0.25">
      <c r="A132" s="27" t="str">
        <f>'RAG Run 1'!D27</f>
        <v>Quality Of Life</v>
      </c>
      <c r="B132" s="28" t="str">
        <f>'RAG Run 1'!E27</f>
        <v>QL1.4</v>
      </c>
      <c r="C132" s="29" t="str">
        <f>'RAG Run 1'!F27</f>
        <v>Minimize Noise &amp; Vibration</v>
      </c>
      <c r="D132" s="30">
        <f>IF('RAG Run 1'!J27="","",'RAG Run 1'!J27)</f>
        <v>1</v>
      </c>
      <c r="E132" s="30">
        <f>IF('RAG Run 2'!J27="","",'RAG Run 2'!J27)</f>
        <v>3</v>
      </c>
      <c r="F132" s="30">
        <f>IF('RAG Run 3'!J27="","",'RAG Run 3'!J27)</f>
        <v>3</v>
      </c>
      <c r="G132" s="30">
        <f>IF('RAG Run 4'!J27="","",'RAG Run 4'!J27)</f>
        <v>1</v>
      </c>
      <c r="H132" s="30">
        <f>IF('RAG Run 5'!J27="","",'RAG Run 5'!J27)</f>
        <v>1</v>
      </c>
      <c r="I132" s="31" t="str">
        <f>IF(AND(D132=E132,E132=F132,F132=G132,G132=H132),"Yes","No")</f>
        <v>No</v>
      </c>
    </row>
    <row r="133" spans="1:9" x14ac:dyDescent="0.25">
      <c r="A133" s="32" t="str">
        <f>'RAG Run 1'!D28</f>
        <v>Quality Of Life</v>
      </c>
      <c r="B133" s="33" t="str">
        <f>'RAG Run 1'!E28</f>
        <v>QL1.5</v>
      </c>
      <c r="C133" s="34" t="str">
        <f>'RAG Run 1'!F28</f>
        <v>Minimize Light Pollution</v>
      </c>
      <c r="D133" s="35">
        <f>IF('RAG Run 1'!J28="","",'RAG Run 1'!J28)</f>
        <v>1</v>
      </c>
      <c r="E133" s="35">
        <f>IF('RAG Run 2'!J28="","",'RAG Run 2'!J28)</f>
        <v>3</v>
      </c>
      <c r="F133" s="35">
        <f>IF('RAG Run 3'!J28="","",'RAG Run 3'!J28)</f>
        <v>3</v>
      </c>
      <c r="G133" s="35">
        <f>IF('RAG Run 4'!J28="","",'RAG Run 4'!J28)</f>
        <v>1</v>
      </c>
      <c r="H133" s="35">
        <f>IF('RAG Run 5'!J28="","",'RAG Run 5'!J28)</f>
        <v>1</v>
      </c>
      <c r="I133" s="36" t="str">
        <f>IF(AND(D133=E133,E133=F133,F133=G133,G133=H133),"Yes","No")</f>
        <v>No</v>
      </c>
    </row>
    <row r="134" spans="1:9" x14ac:dyDescent="0.25">
      <c r="A134" s="27" t="str">
        <f>'RAG Run 1'!D29</f>
        <v>Quality Of Life</v>
      </c>
      <c r="B134" s="28" t="str">
        <f>'RAG Run 1'!E29</f>
        <v>QL1.6</v>
      </c>
      <c r="C134" s="29" t="str">
        <f>'RAG Run 1'!F29</f>
        <v>Minimize Construction Impacts</v>
      </c>
      <c r="D134" s="30">
        <f>IF('RAG Run 1'!J29="","",'RAG Run 1'!J29)</f>
        <v>1</v>
      </c>
      <c r="E134" s="30">
        <f>IF('RAG Run 2'!J29="","",'RAG Run 2'!J29)</f>
        <v>2</v>
      </c>
      <c r="F134" s="30">
        <f>IF('RAG Run 3'!J29="","",'RAG Run 3'!J29)</f>
        <v>2</v>
      </c>
      <c r="G134" s="30">
        <f>IF('RAG Run 4'!J29="","",'RAG Run 4'!J29)</f>
        <v>1</v>
      </c>
      <c r="H134" s="30">
        <f>IF('RAG Run 5'!J29="","",'RAG Run 5'!J29)</f>
        <v>1</v>
      </c>
      <c r="I134" s="31" t="str">
        <f>IF(AND(D134=E134,E134=F134,F134=G134,G134=H134),"Yes","No")</f>
        <v>No</v>
      </c>
    </row>
    <row r="135" spans="1:9" x14ac:dyDescent="0.25">
      <c r="A135" s="32" t="str">
        <f>'RAG Run 1'!D30</f>
        <v>Quality Of Life</v>
      </c>
      <c r="B135" s="33" t="str">
        <f>'RAG Run 1'!E30</f>
        <v>QL2.1</v>
      </c>
      <c r="C135" s="34" t="str">
        <f>'RAG Run 1'!F30</f>
        <v>Improve Community Mobility</v>
      </c>
      <c r="D135" s="35">
        <f>IF('RAG Run 1'!J30="","",'RAG Run 1'!J30)</f>
        <v>1</v>
      </c>
      <c r="E135" s="35">
        <f>IF('RAG Run 2'!J30="","",'RAG Run 2'!J30)</f>
        <v>7</v>
      </c>
      <c r="F135" s="35">
        <f>IF('RAG Run 3'!J30="","",'RAG Run 3'!J30)</f>
        <v>7</v>
      </c>
      <c r="G135" s="35">
        <f>IF('RAG Run 4'!J30="","",'RAG Run 4'!J30)</f>
        <v>1</v>
      </c>
      <c r="H135" s="35">
        <f>IF('RAG Run 5'!J30="","",'RAG Run 5'!J30)</f>
        <v>1</v>
      </c>
      <c r="I135" s="36" t="str">
        <f>IF(AND(D135=E135,E135=F135,F135=G135,G135=H135),"Yes","No")</f>
        <v>No</v>
      </c>
    </row>
    <row r="136" spans="1:9" x14ac:dyDescent="0.25">
      <c r="A136" s="27" t="str">
        <f>'RAG Run 1'!D31</f>
        <v>Quality Of Life</v>
      </c>
      <c r="B136" s="28" t="str">
        <f>'RAG Run 1'!E31</f>
        <v>QL2.2</v>
      </c>
      <c r="C136" s="29" t="str">
        <f>'RAG Run 1'!F31</f>
        <v>Encourage Sustainable Transportation</v>
      </c>
      <c r="D136" s="30">
        <f>IF('RAG Run 1'!J31="","",'RAG Run 1'!J31)</f>
        <v>5</v>
      </c>
      <c r="E136" s="30">
        <f>IF('RAG Run 2'!J31="","",'RAG Run 2'!J31)</f>
        <v>5</v>
      </c>
      <c r="F136" s="30">
        <f>IF('RAG Run 3'!J31="","",'RAG Run 3'!J31)</f>
        <v>5</v>
      </c>
      <c r="G136" s="30">
        <f>IF('RAG Run 4'!J31="","",'RAG Run 4'!J31)</f>
        <v>5</v>
      </c>
      <c r="H136" s="30">
        <f>IF('RAG Run 5'!J31="","",'RAG Run 5'!J31)</f>
        <v>5</v>
      </c>
      <c r="I136" s="31" t="str">
        <f>IF(AND(D136=E136,E136=F136,F136=G136,G136=H136),"Yes","No")</f>
        <v>Yes</v>
      </c>
    </row>
    <row r="137" spans="1:9" x14ac:dyDescent="0.25">
      <c r="A137" s="32" t="str">
        <f>'RAG Run 1'!D32</f>
        <v>Quality Of Life</v>
      </c>
      <c r="B137" s="33" t="str">
        <f>'RAG Run 1'!E32</f>
        <v>QL2.3</v>
      </c>
      <c r="C137" s="34" t="str">
        <f>'RAG Run 1'!F32</f>
        <v>Improve Access &amp; Wayfinding</v>
      </c>
      <c r="D137" s="35">
        <f>IF('RAG Run 1'!J32="","",'RAG Run 1'!J32)</f>
        <v>1</v>
      </c>
      <c r="E137" s="35">
        <f>IF('RAG Run 2'!J32="","",'RAG Run 2'!J32)</f>
        <v>5</v>
      </c>
      <c r="F137" s="35">
        <f>IF('RAG Run 3'!J32="","",'RAG Run 3'!J32)</f>
        <v>9</v>
      </c>
      <c r="G137" s="35">
        <f>IF('RAG Run 4'!J32="","",'RAG Run 4'!J32)</f>
        <v>1</v>
      </c>
      <c r="H137" s="35">
        <f>IF('RAG Run 5'!J32="","",'RAG Run 5'!J32)</f>
        <v>1</v>
      </c>
      <c r="I137" s="36" t="str">
        <f>IF(AND(D137=E137,E137=F137,F137=G137,G137=H137),"Yes","No")</f>
        <v>No</v>
      </c>
    </row>
    <row r="138" spans="1:9" x14ac:dyDescent="0.25">
      <c r="A138" s="27" t="str">
        <f>'RAG Run 1'!D33</f>
        <v>Quality Of Life</v>
      </c>
      <c r="B138" s="28" t="str">
        <f>'RAG Run 1'!E33</f>
        <v>QL3.1</v>
      </c>
      <c r="C138" s="29" t="str">
        <f>'RAG Run 1'!F33</f>
        <v>Advance Equity &amp; Social Justice</v>
      </c>
      <c r="D138" s="30">
        <f>IF('RAG Run 1'!J33="","",'RAG Run 1'!J33)</f>
        <v>3</v>
      </c>
      <c r="E138" s="30">
        <f>IF('RAG Run 2'!J33="","",'RAG Run 2'!J33)</f>
        <v>6</v>
      </c>
      <c r="F138" s="30">
        <f>IF('RAG Run 3'!J33="","",'RAG Run 3'!J33)</f>
        <v>6</v>
      </c>
      <c r="G138" s="30">
        <f>IF('RAG Run 4'!J33="","",'RAG Run 4'!J33)</f>
        <v>3</v>
      </c>
      <c r="H138" s="30">
        <f>IF('RAG Run 5'!J33="","",'RAG Run 5'!J33)</f>
        <v>3</v>
      </c>
      <c r="I138" s="31" t="str">
        <f>IF(AND(D138=E138,E138=F138,F138=G138,G138=H138),"Yes","No")</f>
        <v>No</v>
      </c>
    </row>
    <row r="139" spans="1:9" x14ac:dyDescent="0.25">
      <c r="A139" s="32" t="str">
        <f>'RAG Run 1'!D34</f>
        <v>Quality Of Life</v>
      </c>
      <c r="B139" s="33" t="str">
        <f>'RAG Run 1'!E34</f>
        <v>QL3.2</v>
      </c>
      <c r="C139" s="34" t="str">
        <f>'RAG Run 1'!F34</f>
        <v>Preserve Historic &amp; Cultural Resources</v>
      </c>
      <c r="D139" s="35">
        <f>IF('RAG Run 1'!J34="","",'RAG Run 1'!J34)</f>
        <v>0</v>
      </c>
      <c r="E139" s="35">
        <f>IF('RAG Run 2'!J34="","",'RAG Run 2'!J34)</f>
        <v>2</v>
      </c>
      <c r="F139" s="35">
        <f>IF('RAG Run 3'!J34="","",'RAG Run 3'!J34)</f>
        <v>2</v>
      </c>
      <c r="G139" s="35">
        <f>IF('RAG Run 4'!J34="","",'RAG Run 4'!J34)</f>
        <v>0</v>
      </c>
      <c r="H139" s="35">
        <f>IF('RAG Run 5'!J34="","",'RAG Run 5'!J34)</f>
        <v>0</v>
      </c>
      <c r="I139" s="36" t="str">
        <f>IF(AND(D139=E139,E139=F139,F139=G139,G139=H139),"Yes","No")</f>
        <v>No</v>
      </c>
    </row>
    <row r="140" spans="1:9" x14ac:dyDescent="0.25">
      <c r="A140" s="27" t="str">
        <f>'RAG Run 1'!D35</f>
        <v>Quality Of Life</v>
      </c>
      <c r="B140" s="28" t="str">
        <f>'RAG Run 1'!E35</f>
        <v>QL3.3</v>
      </c>
      <c r="C140" s="29" t="str">
        <f>'RAG Run 1'!F35</f>
        <v>Enhance Views &amp; Local Character</v>
      </c>
      <c r="D140" s="30">
        <f>IF('RAG Run 1'!J35="","",'RAG Run 1'!J35)</f>
        <v>1</v>
      </c>
      <c r="E140" s="30">
        <f>IF('RAG Run 2'!J35="","",'RAG Run 2'!J35)</f>
        <v>3</v>
      </c>
      <c r="F140" s="30">
        <f>IF('RAG Run 3'!J35="","",'RAG Run 3'!J35)</f>
        <v>3</v>
      </c>
      <c r="G140" s="30">
        <f>IF('RAG Run 4'!J35="","",'RAG Run 4'!J35)</f>
        <v>1</v>
      </c>
      <c r="H140" s="30">
        <f>IF('RAG Run 5'!J35="","",'RAG Run 5'!J35)</f>
        <v>1</v>
      </c>
      <c r="I140" s="31" t="str">
        <f>IF(AND(D140=E140,E140=F140,F140=G140,G140=H140),"Yes","No")</f>
        <v>No</v>
      </c>
    </row>
    <row r="141" spans="1:9" x14ac:dyDescent="0.25">
      <c r="A141" s="32" t="str">
        <f>'RAG Run 1'!D36</f>
        <v>Resource Allocation</v>
      </c>
      <c r="B141" s="33" t="str">
        <f>'RAG Run 1'!E36</f>
        <v>RA1.1</v>
      </c>
      <c r="C141" s="34" t="str">
        <f>'RAG Run 1'!F36</f>
        <v>Reduce Materials Use</v>
      </c>
      <c r="D141" s="35">
        <f>IF('RAG Run 1'!J36="","",'RAG Run 1'!J36)</f>
        <v>0</v>
      </c>
      <c r="E141" s="35">
        <f>IF('RAG Run 2'!J36="","",'RAG Run 2'!J36)</f>
        <v>0</v>
      </c>
      <c r="F141" s="35">
        <f>IF('RAG Run 3'!J36="","",'RAG Run 3'!J36)</f>
        <v>0</v>
      </c>
      <c r="G141" s="35">
        <f>IF('RAG Run 4'!J36="","",'RAG Run 4'!J36)</f>
        <v>0</v>
      </c>
      <c r="H141" s="35">
        <f>IF('RAG Run 5'!J36="","",'RAG Run 5'!J36)</f>
        <v>0</v>
      </c>
      <c r="I141" s="36" t="str">
        <f>IF(AND(D141=E141,E141=F141,F141=G141,G141=H141),"Yes","No")</f>
        <v>Yes</v>
      </c>
    </row>
    <row r="142" spans="1:9" x14ac:dyDescent="0.25">
      <c r="A142" s="27" t="str">
        <f>'RAG Run 1'!D37</f>
        <v>Resource Allocation</v>
      </c>
      <c r="B142" s="28" t="str">
        <f>'RAG Run 1'!E37</f>
        <v>RA1.2</v>
      </c>
      <c r="C142" s="29" t="str">
        <f>'RAG Run 1'!F37</f>
        <v>Use Recycled Materials</v>
      </c>
      <c r="D142" s="30">
        <f>IF('RAG Run 1'!J37="","",'RAG Run 1'!J37)</f>
        <v>0</v>
      </c>
      <c r="E142" s="30">
        <f>IF('RAG Run 2'!J37="","",'RAG Run 2'!J37)</f>
        <v>0</v>
      </c>
      <c r="F142" s="30">
        <f>IF('RAG Run 3'!J37="","",'RAG Run 3'!J37)</f>
        <v>0</v>
      </c>
      <c r="G142" s="30">
        <f>IF('RAG Run 4'!J37="","",'RAG Run 4'!J37)</f>
        <v>0</v>
      </c>
      <c r="H142" s="30">
        <f>IF('RAG Run 5'!J37="","",'RAG Run 5'!J37)</f>
        <v>0</v>
      </c>
      <c r="I142" s="31" t="str">
        <f>IF(AND(D142=E142,E142=F142,F142=G142,G142=H142),"Yes","No")</f>
        <v>Yes</v>
      </c>
    </row>
    <row r="143" spans="1:9" x14ac:dyDescent="0.25">
      <c r="A143" s="32" t="str">
        <f>'RAG Run 1'!D38</f>
        <v>Resource Allocation</v>
      </c>
      <c r="B143" s="33" t="str">
        <f>'RAG Run 1'!E38</f>
        <v>RA1.3</v>
      </c>
      <c r="C143" s="34" t="str">
        <f>'RAG Run 1'!F38</f>
        <v>Reduce Operational Waste</v>
      </c>
      <c r="D143" s="35">
        <f>IF('RAG Run 1'!J38="","",'RAG Run 1'!J38)</f>
        <v>0</v>
      </c>
      <c r="E143" s="35">
        <f>IF('RAG Run 2'!J38="","",'RAG Run 2'!J38)</f>
        <v>0</v>
      </c>
      <c r="F143" s="35">
        <f>IF('RAG Run 3'!J38="","",'RAG Run 3'!J38)</f>
        <v>0</v>
      </c>
      <c r="G143" s="35">
        <f>IF('RAG Run 4'!J38="","",'RAG Run 4'!J38)</f>
        <v>0</v>
      </c>
      <c r="H143" s="35">
        <f>IF('RAG Run 5'!J38="","",'RAG Run 5'!J38)</f>
        <v>0</v>
      </c>
      <c r="I143" s="36" t="str">
        <f>IF(AND(D143=E143,E143=F143,F143=G143,G143=H143),"Yes","No")</f>
        <v>Yes</v>
      </c>
    </row>
    <row r="144" spans="1:9" x14ac:dyDescent="0.25">
      <c r="A144" s="27" t="str">
        <f>'RAG Run 1'!D39</f>
        <v>Resource Allocation</v>
      </c>
      <c r="B144" s="28" t="str">
        <f>'RAG Run 1'!E39</f>
        <v>RA1.4</v>
      </c>
      <c r="C144" s="29" t="str">
        <f>'RAG Run 1'!F39</f>
        <v>Reduce Construction Waste</v>
      </c>
      <c r="D144" s="30">
        <f>IF('RAG Run 1'!J39="","",'RAG Run 1'!J39)</f>
        <v>0</v>
      </c>
      <c r="E144" s="30">
        <f>IF('RAG Run 2'!J39="","",'RAG Run 2'!J39)</f>
        <v>0</v>
      </c>
      <c r="F144" s="30">
        <f>IF('RAG Run 3'!J39="","",'RAG Run 3'!J39)</f>
        <v>0</v>
      </c>
      <c r="G144" s="30">
        <f>IF('RAG Run 4'!J39="","",'RAG Run 4'!J39)</f>
        <v>0</v>
      </c>
      <c r="H144" s="30">
        <f>IF('RAG Run 5'!J39="","",'RAG Run 5'!J39)</f>
        <v>0</v>
      </c>
      <c r="I144" s="31" t="str">
        <f>IF(AND(D144=E144,E144=F144,F144=G144,G144=H144),"Yes","No")</f>
        <v>Yes</v>
      </c>
    </row>
    <row r="145" spans="1:9" x14ac:dyDescent="0.25">
      <c r="A145" s="32" t="str">
        <f>'RAG Run 1'!D40</f>
        <v>Resource Allocation</v>
      </c>
      <c r="B145" s="33" t="str">
        <f>'RAG Run 1'!E40</f>
        <v>RA1.5</v>
      </c>
      <c r="C145" s="34" t="str">
        <f>'RAG Run 1'!F40</f>
        <v>Balance Earthwork On Site</v>
      </c>
      <c r="D145" s="35">
        <f>IF('RAG Run 1'!J40="","",'RAG Run 1'!J40)</f>
        <v>0</v>
      </c>
      <c r="E145" s="35">
        <f>IF('RAG Run 2'!J40="","",'RAG Run 2'!J40)</f>
        <v>0</v>
      </c>
      <c r="F145" s="35">
        <f>IF('RAG Run 3'!J40="","",'RAG Run 3'!J40)</f>
        <v>0</v>
      </c>
      <c r="G145" s="35">
        <f>IF('RAG Run 4'!J40="","",'RAG Run 4'!J40)</f>
        <v>0</v>
      </c>
      <c r="H145" s="35">
        <f>IF('RAG Run 5'!J40="","",'RAG Run 5'!J40)</f>
        <v>0</v>
      </c>
      <c r="I145" s="36" t="str">
        <f>IF(AND(D145=E145,E145=F145,F145=G145,G145=H145),"Yes","No")</f>
        <v>Yes</v>
      </c>
    </row>
    <row r="146" spans="1:9" x14ac:dyDescent="0.25">
      <c r="A146" s="27" t="str">
        <f>'RAG Run 1'!D41</f>
        <v>Resource Allocation</v>
      </c>
      <c r="B146" s="28" t="str">
        <f>'RAG Run 1'!E41</f>
        <v>RA2.1</v>
      </c>
      <c r="C146" s="29" t="str">
        <f>'RAG Run 1'!F41</f>
        <v>Reduce Operational Energy Consumption</v>
      </c>
      <c r="D146" s="30">
        <f>IF('RAG Run 1'!J41="","",'RAG Run 1'!J41)</f>
        <v>0</v>
      </c>
      <c r="E146" s="30">
        <f>IF('RAG Run 2'!J41="","",'RAG Run 2'!J41)</f>
        <v>0</v>
      </c>
      <c r="F146" s="30">
        <f>IF('RAG Run 3'!J41="","",'RAG Run 3'!J41)</f>
        <v>0</v>
      </c>
      <c r="G146" s="30">
        <f>IF('RAG Run 4'!J41="","",'RAG Run 4'!J41)</f>
        <v>0</v>
      </c>
      <c r="H146" s="30">
        <f>IF('RAG Run 5'!J41="","",'RAG Run 5'!J41)</f>
        <v>0</v>
      </c>
      <c r="I146" s="31" t="str">
        <f>IF(AND(D146=E146,E146=F146,F146=G146,G146=H146),"Yes","No")</f>
        <v>Yes</v>
      </c>
    </row>
    <row r="147" spans="1:9" x14ac:dyDescent="0.25">
      <c r="A147" s="32" t="str">
        <f>'RAG Run 1'!D42</f>
        <v>Resource Allocation</v>
      </c>
      <c r="B147" s="33" t="str">
        <f>'RAG Run 1'!E42</f>
        <v>RA2.2</v>
      </c>
      <c r="C147" s="34" t="str">
        <f>'RAG Run 1'!F42</f>
        <v>Reduce Construction Energy Consumption</v>
      </c>
      <c r="D147" s="35">
        <f>IF('RAG Run 1'!J42="","",'RAG Run 1'!J42)</f>
        <v>0</v>
      </c>
      <c r="E147" s="35">
        <f>IF('RAG Run 2'!J42="","",'RAG Run 2'!J42)</f>
        <v>0</v>
      </c>
      <c r="F147" s="35">
        <f>IF('RAG Run 3'!J42="","",'RAG Run 3'!J42)</f>
        <v>0</v>
      </c>
      <c r="G147" s="35">
        <f>IF('RAG Run 4'!J42="","",'RAG Run 4'!J42)</f>
        <v>0</v>
      </c>
      <c r="H147" s="35">
        <f>IF('RAG Run 5'!J42="","",'RAG Run 5'!J42)</f>
        <v>0</v>
      </c>
      <c r="I147" s="36" t="str">
        <f>IF(AND(D147=E147,E147=F147,F147=G147,G147=H147),"Yes","No")</f>
        <v>Yes</v>
      </c>
    </row>
    <row r="148" spans="1:9" x14ac:dyDescent="0.25">
      <c r="A148" s="27" t="str">
        <f>'RAG Run 1'!D43</f>
        <v>Resource Allocation</v>
      </c>
      <c r="B148" s="28" t="str">
        <f>'RAG Run 1'!E43</f>
        <v>RA2.3</v>
      </c>
      <c r="C148" s="29" t="str">
        <f>'RAG Run 1'!F43</f>
        <v>Use Renewable Energy</v>
      </c>
      <c r="D148" s="30">
        <f>IF('RAG Run 1'!J43="","",'RAG Run 1'!J43)</f>
        <v>0</v>
      </c>
      <c r="E148" s="30">
        <f>IF('RAG Run 2'!J43="","",'RAG Run 2'!J43)</f>
        <v>0</v>
      </c>
      <c r="F148" s="30">
        <f>IF('RAG Run 3'!J43="","",'RAG Run 3'!J43)</f>
        <v>0</v>
      </c>
      <c r="G148" s="30">
        <f>IF('RAG Run 4'!J43="","",'RAG Run 4'!J43)</f>
        <v>0</v>
      </c>
      <c r="H148" s="30">
        <f>IF('RAG Run 5'!J43="","",'RAG Run 5'!J43)</f>
        <v>0</v>
      </c>
      <c r="I148" s="31" t="str">
        <f>IF(AND(D148=E148,E148=F148,F148=G148,G148=H148),"Yes","No")</f>
        <v>Yes</v>
      </c>
    </row>
    <row r="149" spans="1:9" x14ac:dyDescent="0.25">
      <c r="A149" s="32" t="str">
        <f>'RAG Run 1'!D44</f>
        <v>Resource Allocation</v>
      </c>
      <c r="B149" s="33" t="str">
        <f>'RAG Run 1'!E44</f>
        <v>RA2.4</v>
      </c>
      <c r="C149" s="34" t="str">
        <f>'RAG Run 1'!F44</f>
        <v>Commission and Monitor Energy Systems</v>
      </c>
      <c r="D149" s="35">
        <f>IF('RAG Run 1'!J44="","",'RAG Run 1'!J44)</f>
        <v>0</v>
      </c>
      <c r="E149" s="35">
        <f>IF('RAG Run 2'!J44="","",'RAG Run 2'!J44)</f>
        <v>0</v>
      </c>
      <c r="F149" s="35">
        <f>IF('RAG Run 3'!J44="","",'RAG Run 3'!J44)</f>
        <v>0</v>
      </c>
      <c r="G149" s="35">
        <f>IF('RAG Run 4'!J44="","",'RAG Run 4'!J44)</f>
        <v>0</v>
      </c>
      <c r="H149" s="35">
        <f>IF('RAG Run 5'!J44="","",'RAG Run 5'!J44)</f>
        <v>0</v>
      </c>
      <c r="I149" s="36" t="str">
        <f>IF(AND(D149=E149,E149=F149,F149=G149,G149=H149),"Yes","No")</f>
        <v>Yes</v>
      </c>
    </row>
    <row r="150" spans="1:9" x14ac:dyDescent="0.25">
      <c r="A150" s="27" t="str">
        <f>'RAG Run 1'!D45</f>
        <v>Resource Allocation</v>
      </c>
      <c r="B150" s="28" t="str">
        <f>'RAG Run 1'!E45</f>
        <v>RA3.1</v>
      </c>
      <c r="C150" s="29" t="str">
        <f>'RAG Run 1'!F45</f>
        <v>Preserve Water Resources</v>
      </c>
      <c r="D150" s="30">
        <f>IF('RAG Run 1'!J45="","",'RAG Run 1'!J45)</f>
        <v>0</v>
      </c>
      <c r="E150" s="30">
        <f>IF('RAG Run 2'!J45="","",'RAG Run 2'!J45)</f>
        <v>0</v>
      </c>
      <c r="F150" s="30">
        <f>IF('RAG Run 3'!J45="","",'RAG Run 3'!J45)</f>
        <v>0</v>
      </c>
      <c r="G150" s="30">
        <f>IF('RAG Run 4'!J45="","",'RAG Run 4'!J45)</f>
        <v>0</v>
      </c>
      <c r="H150" s="30">
        <f>IF('RAG Run 5'!J45="","",'RAG Run 5'!J45)</f>
        <v>0</v>
      </c>
      <c r="I150" s="31" t="str">
        <f>IF(AND(D150=E150,E150=F150,F150=G150,G150=H150),"Yes","No")</f>
        <v>Yes</v>
      </c>
    </row>
    <row r="151" spans="1:9" x14ac:dyDescent="0.25">
      <c r="A151" s="32" t="str">
        <f>'RAG Run 1'!D46</f>
        <v>Resource Allocation</v>
      </c>
      <c r="B151" s="33" t="str">
        <f>'RAG Run 1'!E46</f>
        <v>RA3.2</v>
      </c>
      <c r="C151" s="34" t="str">
        <f>'RAG Run 1'!F46</f>
        <v>Reduce Operational Water Consumption</v>
      </c>
      <c r="D151" s="35">
        <f>IF('RAG Run 1'!J46="","",'RAG Run 1'!J46)</f>
        <v>0</v>
      </c>
      <c r="E151" s="35">
        <f>IF('RAG Run 2'!J46="","",'RAG Run 2'!J46)</f>
        <v>0</v>
      </c>
      <c r="F151" s="35">
        <f>IF('RAG Run 3'!J46="","",'RAG Run 3'!J46)</f>
        <v>0</v>
      </c>
      <c r="G151" s="35">
        <f>IF('RAG Run 4'!J46="","",'RAG Run 4'!J46)</f>
        <v>0</v>
      </c>
      <c r="H151" s="35">
        <f>IF('RAG Run 5'!J46="","",'RAG Run 5'!J46)</f>
        <v>0</v>
      </c>
      <c r="I151" s="36" t="str">
        <f>IF(AND(D151=E151,E151=F151,F151=G151,G151=H151),"Yes","No")</f>
        <v>Yes</v>
      </c>
    </row>
    <row r="152" spans="1:9" x14ac:dyDescent="0.25">
      <c r="A152" s="27" t="str">
        <f>'RAG Run 1'!D47</f>
        <v>Resource Allocation</v>
      </c>
      <c r="B152" s="28" t="str">
        <f>'RAG Run 1'!E47</f>
        <v>RA3.3</v>
      </c>
      <c r="C152" s="29" t="str">
        <f>'RAG Run 1'!F47</f>
        <v>Reduce Construction Water Consumption</v>
      </c>
      <c r="D152" s="30">
        <f>IF('RAG Run 1'!J47="","",'RAG Run 1'!J47)</f>
        <v>0</v>
      </c>
      <c r="E152" s="30">
        <f>IF('RAG Run 2'!J47="","",'RAG Run 2'!J47)</f>
        <v>0</v>
      </c>
      <c r="F152" s="30">
        <f>IF('RAG Run 3'!J47="","",'RAG Run 3'!J47)</f>
        <v>0</v>
      </c>
      <c r="G152" s="30">
        <f>IF('RAG Run 4'!J47="","",'RAG Run 4'!J47)</f>
        <v>0</v>
      </c>
      <c r="H152" s="30">
        <f>IF('RAG Run 5'!J47="","",'RAG Run 5'!J47)</f>
        <v>0</v>
      </c>
      <c r="I152" s="31" t="str">
        <f>IF(AND(D152=E152,E152=F152,F152=G152,G152=H152),"Yes","No")</f>
        <v>Yes</v>
      </c>
    </row>
    <row r="153" spans="1:9" ht="15.75" thickBot="1" x14ac:dyDescent="0.3">
      <c r="A153" s="37" t="str">
        <f>'RAG Run 1'!D48</f>
        <v>Resource Allocation</v>
      </c>
      <c r="B153" s="38" t="str">
        <f>'RAG Run 1'!E48</f>
        <v>RA3.4</v>
      </c>
      <c r="C153" s="39" t="str">
        <f>'RAG Run 1'!F48</f>
        <v>Monitor Water Systems</v>
      </c>
      <c r="D153" s="40">
        <f>IF('RAG Run 1'!J48="","",'RAG Run 1'!J48)</f>
        <v>0</v>
      </c>
      <c r="E153" s="40">
        <f>IF('RAG Run 2'!J48="","",'RAG Run 2'!J48)</f>
        <v>0</v>
      </c>
      <c r="F153" s="40">
        <f>IF('RAG Run 3'!J48="","",'RAG Run 3'!J48)</f>
        <v>0</v>
      </c>
      <c r="G153" s="40">
        <f>IF('RAG Run 4'!J48="","",'RAG Run 4'!J48)</f>
        <v>0</v>
      </c>
      <c r="H153" s="40">
        <f>IF('RAG Run 5'!J48="","",'RAG Run 5'!J48)</f>
        <v>0</v>
      </c>
      <c r="I153" s="41" t="str">
        <f>IF(AND(D153=E153,E153=F153,F153=G153,G153=H153),"Yes","No")</f>
        <v>Yes</v>
      </c>
    </row>
    <row r="155" spans="1:9" x14ac:dyDescent="0.25">
      <c r="A155" s="20" t="s">
        <v>10</v>
      </c>
      <c r="B155" s="20"/>
      <c r="C155" s="20"/>
      <c r="D155" s="20"/>
      <c r="E155" s="20"/>
      <c r="F155" s="20"/>
      <c r="G155" s="20"/>
      <c r="H155" s="20"/>
      <c r="I155" s="20"/>
    </row>
    <row r="156" spans="1:9" ht="15.75" thickBot="1" x14ac:dyDescent="0.3">
      <c r="A156" s="21" t="s">
        <v>3</v>
      </c>
      <c r="B156" s="21" t="s">
        <v>4</v>
      </c>
      <c r="C156" s="21" t="s">
        <v>5</v>
      </c>
      <c r="D156" s="21" t="s">
        <v>1068</v>
      </c>
      <c r="E156" s="21" t="s">
        <v>1069</v>
      </c>
      <c r="F156" s="21" t="s">
        <v>1070</v>
      </c>
      <c r="G156" s="21" t="s">
        <v>1071</v>
      </c>
      <c r="H156" s="21" t="s">
        <v>1072</v>
      </c>
      <c r="I156" s="21" t="s">
        <v>1073</v>
      </c>
    </row>
    <row r="157" spans="1:9" x14ac:dyDescent="0.25">
      <c r="A157" s="22" t="str">
        <f>'RAG Run 1'!D2</f>
        <v>Climate And Resilience</v>
      </c>
      <c r="B157" s="23" t="str">
        <f>'RAG Run 1'!E2</f>
        <v>CR2.1</v>
      </c>
      <c r="C157" s="24" t="str">
        <f>'RAG Run 1'!F2</f>
        <v>Avoid Unsuitable Development</v>
      </c>
      <c r="D157" s="23">
        <f>IF('RAG Run 1'!K2="","",'RAG Run 1'!K2)</f>
        <v>0</v>
      </c>
      <c r="E157" s="23">
        <f>IF('RAG Run 2'!K2="","",'RAG Run 2'!K2)</f>
        <v>0</v>
      </c>
      <c r="F157" s="23">
        <f>IF('RAG Run 3'!K2="","",'RAG Run 3'!K2)</f>
        <v>0</v>
      </c>
      <c r="G157" s="23">
        <f>IF('RAG Run 4'!K2="","",'RAG Run 4'!K2)</f>
        <v>0</v>
      </c>
      <c r="H157" s="23">
        <f>IF('RAG Run 5'!K2="","",'RAG Run 5'!K2)</f>
        <v>0</v>
      </c>
      <c r="I157" s="26" t="str">
        <f>IF(AND(D157=E157,E157=F157,F157=G157,G157=H157),"Yes","No")</f>
        <v>Yes</v>
      </c>
    </row>
    <row r="158" spans="1:9" x14ac:dyDescent="0.25">
      <c r="A158" s="27" t="str">
        <f>'RAG Run 1'!D3</f>
        <v>Climate And Resilience</v>
      </c>
      <c r="B158" s="28" t="str">
        <f>'RAG Run 1'!E3</f>
        <v>CR2.2</v>
      </c>
      <c r="C158" s="29" t="str">
        <f>'RAG Run 1'!F3</f>
        <v>Assess Climate Change Vulnerability</v>
      </c>
      <c r="D158" s="28">
        <f>IF('RAG Run 1'!K3="","",'RAG Run 1'!K3)</f>
        <v>40</v>
      </c>
      <c r="E158" s="28">
        <f>IF('RAG Run 2'!K3="","",'RAG Run 2'!K3)</f>
        <v>0</v>
      </c>
      <c r="F158" s="28">
        <f>IF('RAG Run 3'!K3="","",'RAG Run 3'!K3)</f>
        <v>0</v>
      </c>
      <c r="G158" s="28">
        <f>IF('RAG Run 4'!K3="","",'RAG Run 4'!K3)</f>
        <v>0</v>
      </c>
      <c r="H158" s="28">
        <f>IF('RAG Run 5'!K3="","",'RAG Run 5'!K3)</f>
        <v>0</v>
      </c>
      <c r="I158" s="31" t="str">
        <f>IF(AND(D158=E158,E158=F158,F158=G158,G158=H158),"Yes","No")</f>
        <v>No</v>
      </c>
    </row>
    <row r="159" spans="1:9" x14ac:dyDescent="0.25">
      <c r="A159" s="32" t="str">
        <f>'RAG Run 1'!D4</f>
        <v>Climate And Resilience</v>
      </c>
      <c r="B159" s="33" t="str">
        <f>'RAG Run 1'!E4</f>
        <v>CR2.3</v>
      </c>
      <c r="C159" s="34" t="str">
        <f>'RAG Run 1'!F4</f>
        <v>Evaluate Risk and Resilience</v>
      </c>
      <c r="D159" s="33">
        <f>IF('RAG Run 1'!K4="","",'RAG Run 1'!K4)</f>
        <v>0</v>
      </c>
      <c r="E159" s="33">
        <f>IF('RAG Run 2'!K4="","",'RAG Run 2'!K4)</f>
        <v>0</v>
      </c>
      <c r="F159" s="33">
        <f>IF('RAG Run 3'!K4="","",'RAG Run 3'!K4)</f>
        <v>0</v>
      </c>
      <c r="G159" s="33">
        <f>IF('RAG Run 4'!K4="","",'RAG Run 4'!K4)</f>
        <v>0</v>
      </c>
      <c r="H159" s="33">
        <f>IF('RAG Run 5'!K4="","",'RAG Run 5'!K4)</f>
        <v>0</v>
      </c>
      <c r="I159" s="36" t="str">
        <f>IF(AND(D159=E159,E159=F159,F159=G159,G159=H159),"Yes","No")</f>
        <v>Yes</v>
      </c>
    </row>
    <row r="160" spans="1:9" x14ac:dyDescent="0.25">
      <c r="A160" s="27" t="str">
        <f>'RAG Run 1'!D5</f>
        <v>Climate And Resilience</v>
      </c>
      <c r="B160" s="28" t="str">
        <f>'RAG Run 1'!E5</f>
        <v>CR2.4</v>
      </c>
      <c r="C160" s="29" t="str">
        <f>'RAG Run 1'!F5</f>
        <v>Establish Resilience Goals and Strategies</v>
      </c>
      <c r="D160" s="28">
        <f>IF('RAG Run 1'!K5="","",'RAG Run 1'!K5)</f>
        <v>0</v>
      </c>
      <c r="E160" s="28">
        <f>IF('RAG Run 2'!K5="","",'RAG Run 2'!K5)</f>
        <v>0</v>
      </c>
      <c r="F160" s="28">
        <f>IF('RAG Run 3'!K5="","",'RAG Run 3'!K5)</f>
        <v>0</v>
      </c>
      <c r="G160" s="28">
        <f>IF('RAG Run 4'!K5="","",'RAG Run 4'!K5)</f>
        <v>0</v>
      </c>
      <c r="H160" s="28">
        <f>IF('RAG Run 5'!K5="","",'RAG Run 5'!K5)</f>
        <v>0</v>
      </c>
      <c r="I160" s="31" t="str">
        <f>IF(AND(D160=E160,E160=F160,F160=G160,G160=H160),"Yes","No")</f>
        <v>Yes</v>
      </c>
    </row>
    <row r="161" spans="1:9" x14ac:dyDescent="0.25">
      <c r="A161" s="32" t="str">
        <f>'RAG Run 1'!D6</f>
        <v>Climate And Resilience</v>
      </c>
      <c r="B161" s="33" t="str">
        <f>'RAG Run 1'!E6</f>
        <v>CR2.5</v>
      </c>
      <c r="C161" s="34" t="str">
        <f>'RAG Run 1'!F6</f>
        <v>Maximize Resilience</v>
      </c>
      <c r="D161" s="33">
        <f>IF('RAG Run 1'!K6="","",'RAG Run 1'!K6)</f>
        <v>0</v>
      </c>
      <c r="E161" s="33">
        <f>IF('RAG Run 2'!K6="","",'RAG Run 2'!K6)</f>
        <v>0</v>
      </c>
      <c r="F161" s="33">
        <f>IF('RAG Run 3'!K6="","",'RAG Run 3'!K6)</f>
        <v>0</v>
      </c>
      <c r="G161" s="33">
        <f>IF('RAG Run 4'!K6="","",'RAG Run 4'!K6)</f>
        <v>0</v>
      </c>
      <c r="H161" s="33">
        <f>IF('RAG Run 5'!K6="","",'RAG Run 5'!K6)</f>
        <v>0</v>
      </c>
      <c r="I161" s="36" t="str">
        <f>IF(AND(D161=E161,E161=F161,F161=G161,G161=H161),"Yes","No")</f>
        <v>Yes</v>
      </c>
    </row>
    <row r="162" spans="1:9" x14ac:dyDescent="0.25">
      <c r="A162" s="27" t="str">
        <f>'RAG Run 1'!D7</f>
        <v>Climate And Resilience</v>
      </c>
      <c r="B162" s="28" t="str">
        <f>'RAG Run 1'!E7</f>
        <v>CR2.6</v>
      </c>
      <c r="C162" s="29" t="str">
        <f>'RAG Run 1'!F7</f>
        <v>Improve Infrastructure Integration</v>
      </c>
      <c r="D162" s="28">
        <f>IF('RAG Run 1'!K7="","",'RAG Run 1'!K7)</f>
        <v>0</v>
      </c>
      <c r="E162" s="28">
        <f>IF('RAG Run 2'!K7="","",'RAG Run 2'!K7)</f>
        <v>0</v>
      </c>
      <c r="F162" s="28">
        <f>IF('RAG Run 3'!K7="","",'RAG Run 3'!K7)</f>
        <v>0</v>
      </c>
      <c r="G162" s="28">
        <f>IF('RAG Run 4'!K7="","",'RAG Run 4'!K7)</f>
        <v>0</v>
      </c>
      <c r="H162" s="28">
        <f>IF('RAG Run 5'!K7="","",'RAG Run 5'!K7)</f>
        <v>0</v>
      </c>
      <c r="I162" s="31" t="str">
        <f>IF(AND(D162=E162,E162=F162,F162=G162,G162=H162),"Yes","No")</f>
        <v>Yes</v>
      </c>
    </row>
    <row r="163" spans="1:9" x14ac:dyDescent="0.25">
      <c r="A163" s="32" t="str">
        <f>'RAG Run 1'!D8</f>
        <v>Leadership</v>
      </c>
      <c r="B163" s="33" t="str">
        <f>'RAG Run 1'!E8</f>
        <v>LD1.1</v>
      </c>
      <c r="C163" s="34" t="str">
        <f>'RAG Run 1'!F8</f>
        <v>Provide Effective Leadership and Commitment</v>
      </c>
      <c r="D163" s="33">
        <f>IF('RAG Run 1'!K8="","",'RAG Run 1'!K8)</f>
        <v>20</v>
      </c>
      <c r="E163" s="33">
        <f>IF('RAG Run 2'!K8="","",'RAG Run 2'!K8)</f>
        <v>20</v>
      </c>
      <c r="F163" s="33">
        <f>IF('RAG Run 3'!K8="","",'RAG Run 3'!K8)</f>
        <v>20</v>
      </c>
      <c r="G163" s="33">
        <f>IF('RAG Run 4'!K8="","",'RAG Run 4'!K8)</f>
        <v>20</v>
      </c>
      <c r="H163" s="33">
        <f>IF('RAG Run 5'!K8="","",'RAG Run 5'!K8)</f>
        <v>20</v>
      </c>
      <c r="I163" s="36" t="str">
        <f>IF(AND(D163=E163,E163=F163,F163=G163,G163=H163),"Yes","No")</f>
        <v>Yes</v>
      </c>
    </row>
    <row r="164" spans="1:9" x14ac:dyDescent="0.25">
      <c r="A164" s="27" t="str">
        <f>'RAG Run 1'!D9</f>
        <v>Leadership</v>
      </c>
      <c r="B164" s="28" t="str">
        <f>'RAG Run 1'!E9</f>
        <v>LD1.2</v>
      </c>
      <c r="C164" s="29" t="str">
        <f>'RAG Run 1'!F9</f>
        <v>Foster Collaboration and Teamwork</v>
      </c>
      <c r="D164" s="28">
        <f>IF('RAG Run 1'!K9="","",'RAG Run 1'!K9)</f>
        <v>25</v>
      </c>
      <c r="E164" s="28">
        <f>IF('RAG Run 2'!K9="","",'RAG Run 2'!K9)</f>
        <v>25</v>
      </c>
      <c r="F164" s="28">
        <f>IF('RAG Run 3'!K9="","",'RAG Run 3'!K9)</f>
        <v>25</v>
      </c>
      <c r="G164" s="28">
        <f>IF('RAG Run 4'!K9="","",'RAG Run 4'!K9)</f>
        <v>25</v>
      </c>
      <c r="H164" s="28">
        <f>IF('RAG Run 5'!K9="","",'RAG Run 5'!K9)</f>
        <v>25</v>
      </c>
      <c r="I164" s="31" t="str">
        <f>IF(AND(D164=E164,E164=F164,F164=G164,G164=H164),"Yes","No")</f>
        <v>Yes</v>
      </c>
    </row>
    <row r="165" spans="1:9" x14ac:dyDescent="0.25">
      <c r="A165" s="32" t="str">
        <f>'RAG Run 1'!D10</f>
        <v>Leadership</v>
      </c>
      <c r="B165" s="33" t="str">
        <f>'RAG Run 1'!E10</f>
        <v>LD1.3</v>
      </c>
      <c r="C165" s="34" t="str">
        <f>'RAG Run 1'!F10</f>
        <v>Encourage Public Engagement and Participation</v>
      </c>
      <c r="D165" s="33">
        <f>IF('RAG Run 1'!K10="","",'RAG Run 1'!K10)</f>
        <v>0</v>
      </c>
      <c r="E165" s="33">
        <f>IF('RAG Run 2'!K10="","",'RAG Run 2'!K10)</f>
        <v>0</v>
      </c>
      <c r="F165" s="33">
        <f>IF('RAG Run 3'!K10="","",'RAG Run 3'!K10)</f>
        <v>0</v>
      </c>
      <c r="G165" s="33">
        <f>IF('RAG Run 4'!K10="","",'RAG Run 4'!K10)</f>
        <v>0</v>
      </c>
      <c r="H165" s="33">
        <f>IF('RAG Run 5'!K10="","",'RAG Run 5'!K10)</f>
        <v>0</v>
      </c>
      <c r="I165" s="36" t="str">
        <f>IF(AND(D165=E165,E165=F165,F165=G165,G165=H165),"Yes","No")</f>
        <v>Yes</v>
      </c>
    </row>
    <row r="166" spans="1:9" x14ac:dyDescent="0.25">
      <c r="A166" s="27" t="str">
        <f>'RAG Run 1'!D11</f>
        <v>Leadership</v>
      </c>
      <c r="B166" s="28" t="str">
        <f>'RAG Run 1'!E11</f>
        <v>LD1.4</v>
      </c>
      <c r="C166" s="29" t="str">
        <f>'RAG Run 1'!F11</f>
        <v>Pursue Byproduct Synergies</v>
      </c>
      <c r="D166" s="28">
        <f>IF('RAG Run 1'!K11="","",'RAG Run 1'!K11)</f>
        <v>0</v>
      </c>
      <c r="E166" s="28">
        <f>IF('RAG Run 2'!K11="","",'RAG Run 2'!K11)</f>
        <v>0</v>
      </c>
      <c r="F166" s="28">
        <f>IF('RAG Run 3'!K11="","",'RAG Run 3'!K11)</f>
        <v>0</v>
      </c>
      <c r="G166" s="28">
        <f>IF('RAG Run 4'!K11="","",'RAG Run 4'!K11)</f>
        <v>0</v>
      </c>
      <c r="H166" s="28">
        <f>IF('RAG Run 5'!K11="","",'RAG Run 5'!K11)</f>
        <v>0</v>
      </c>
      <c r="I166" s="31" t="str">
        <f>IF(AND(D166=E166,E166=F166,F166=G166,G166=H166),"Yes","No")</f>
        <v>Yes</v>
      </c>
    </row>
    <row r="167" spans="1:9" x14ac:dyDescent="0.25">
      <c r="A167" s="32" t="str">
        <f>'RAG Run 1'!D12</f>
        <v>Leadership</v>
      </c>
      <c r="B167" s="33" t="str">
        <f>'RAG Run 1'!E12</f>
        <v>LD2.1</v>
      </c>
      <c r="C167" s="34" t="str">
        <f>'RAG Run 1'!F12</f>
        <v>Establish a Sustainability Management Plan</v>
      </c>
      <c r="D167" s="33">
        <f>IF('RAG Run 1'!K12="","",'RAG Run 1'!K12)</f>
        <v>0</v>
      </c>
      <c r="E167" s="33">
        <f>IF('RAG Run 2'!K12="","",'RAG Run 2'!K12)</f>
        <v>0</v>
      </c>
      <c r="F167" s="33">
        <f>IF('RAG Run 3'!K12="","",'RAG Run 3'!K12)</f>
        <v>0</v>
      </c>
      <c r="G167" s="33">
        <f>IF('RAG Run 4'!K12="","",'RAG Run 4'!K12)</f>
        <v>0</v>
      </c>
      <c r="H167" s="33">
        <f>IF('RAG Run 5'!K12="","",'RAG Run 5'!K12)</f>
        <v>0</v>
      </c>
      <c r="I167" s="36" t="str">
        <f>IF(AND(D167=E167,E167=F167,F167=G167,G167=H167),"Yes","No")</f>
        <v>Yes</v>
      </c>
    </row>
    <row r="168" spans="1:9" x14ac:dyDescent="0.25">
      <c r="A168" s="27" t="str">
        <f>'RAG Run 1'!D13</f>
        <v>Leadership</v>
      </c>
      <c r="B168" s="28" t="str">
        <f>'RAG Run 1'!E13</f>
        <v>LD2.2</v>
      </c>
      <c r="C168" s="29" t="str">
        <f>'RAG Run 1'!F13</f>
        <v>Plan for Sustainable Communities</v>
      </c>
      <c r="D168" s="28">
        <f>IF('RAG Run 1'!K13="","",'RAG Run 1'!K13)</f>
        <v>0</v>
      </c>
      <c r="E168" s="28">
        <f>IF('RAG Run 2'!K13="","",'RAG Run 2'!K13)</f>
        <v>0</v>
      </c>
      <c r="F168" s="28">
        <f>IF('RAG Run 3'!K13="","",'RAG Run 3'!K13)</f>
        <v>0</v>
      </c>
      <c r="G168" s="28">
        <f>IF('RAG Run 4'!K13="","",'RAG Run 4'!K13)</f>
        <v>0</v>
      </c>
      <c r="H168" s="28">
        <f>IF('RAG Run 5'!K13="","",'RAG Run 5'!K13)</f>
        <v>0</v>
      </c>
      <c r="I168" s="31" t="str">
        <f>IF(AND(D168=E168,E168=F168,F168=G168,G168=H168),"Yes","No")</f>
        <v>Yes</v>
      </c>
    </row>
    <row r="169" spans="1:9" x14ac:dyDescent="0.25">
      <c r="A169" s="32" t="str">
        <f>'RAG Run 1'!D14</f>
        <v>Leadership</v>
      </c>
      <c r="B169" s="33" t="str">
        <f>'RAG Run 1'!E14</f>
        <v>LD2.3</v>
      </c>
      <c r="C169" s="34" t="str">
        <f>'RAG Run 1'!F14</f>
        <v>Conduct a Life-Cycle Economic Evaluation</v>
      </c>
      <c r="D169" s="33">
        <f>IF('RAG Run 1'!K14="","",'RAG Run 1'!K14)</f>
        <v>0</v>
      </c>
      <c r="E169" s="33">
        <f>IF('RAG Run 2'!K14="","",'RAG Run 2'!K14)</f>
        <v>0</v>
      </c>
      <c r="F169" s="33">
        <f>IF('RAG Run 3'!K14="","",'RAG Run 3'!K14)</f>
        <v>0</v>
      </c>
      <c r="G169" s="33">
        <f>IF('RAG Run 4'!K14="","",'RAG Run 4'!K14)</f>
        <v>0</v>
      </c>
      <c r="H169" s="33">
        <f>IF('RAG Run 5'!K14="","",'RAG Run 5'!K14)</f>
        <v>0</v>
      </c>
      <c r="I169" s="36" t="str">
        <f>IF(AND(D169=E169,E169=F169,F169=G169,G169=H169),"Yes","No")</f>
        <v>Yes</v>
      </c>
    </row>
    <row r="170" spans="1:9" x14ac:dyDescent="0.25">
      <c r="A170" s="27" t="str">
        <f>'RAG Run 1'!D15</f>
        <v>Leadership</v>
      </c>
      <c r="B170" s="28" t="str">
        <f>'RAG Run 1'!E15</f>
        <v>LD3.1</v>
      </c>
      <c r="C170" s="29" t="str">
        <f>'RAG Run 1'!F15</f>
        <v>Develop a Construction Management Plan</v>
      </c>
      <c r="D170" s="28">
        <f>IF('RAG Run 1'!K15="","",'RAG Run 1'!K15)</f>
        <v>0</v>
      </c>
      <c r="E170" s="28">
        <f>IF('RAG Run 2'!K15="","",'RAG Run 2'!K15)</f>
        <v>0</v>
      </c>
      <c r="F170" s="28">
        <f>IF('RAG Run 3'!K15="","",'RAG Run 3'!K15)</f>
        <v>0</v>
      </c>
      <c r="G170" s="28">
        <f>IF('RAG Run 4'!K15="","",'RAG Run 4'!K15)</f>
        <v>0</v>
      </c>
      <c r="H170" s="28">
        <f>IF('RAG Run 5'!K15="","",'RAG Run 5'!K15)</f>
        <v>0</v>
      </c>
      <c r="I170" s="31" t="str">
        <f>IF(AND(D170=E170,E170=F170,F170=G170,G170=H170),"Yes","No")</f>
        <v>Yes</v>
      </c>
    </row>
    <row r="171" spans="1:9" x14ac:dyDescent="0.25">
      <c r="A171" s="32" t="str">
        <f>'RAG Run 1'!D16</f>
        <v>Leadership</v>
      </c>
      <c r="B171" s="33" t="str">
        <f>'RAG Run 1'!E16</f>
        <v>LD3.2</v>
      </c>
      <c r="C171" s="34" t="str">
        <f>'RAG Run 1'!F16</f>
        <v>Implement a Quality Control and Assurance Plan</v>
      </c>
      <c r="D171" s="33">
        <f>IF('RAG Run 1'!K16="","",'RAG Run 1'!K16)</f>
        <v>0</v>
      </c>
      <c r="E171" s="33">
        <f>IF('RAG Run 2'!K16="","",'RAG Run 2'!K16)</f>
        <v>0</v>
      </c>
      <c r="F171" s="33">
        <f>IF('RAG Run 3'!K16="","",'RAG Run 3'!K16)</f>
        <v>0</v>
      </c>
      <c r="G171" s="33">
        <f>IF('RAG Run 4'!K16="","",'RAG Run 4'!K16)</f>
        <v>0</v>
      </c>
      <c r="H171" s="33">
        <f>IF('RAG Run 5'!K16="","",'RAG Run 5'!K16)</f>
        <v>0</v>
      </c>
      <c r="I171" s="36" t="str">
        <f>IF(AND(D171=E171,E171=F171,F171=G171,G171=H171),"Yes","No")</f>
        <v>Yes</v>
      </c>
    </row>
    <row r="172" spans="1:9" x14ac:dyDescent="0.25">
      <c r="A172" s="27" t="str">
        <f>'RAG Run 1'!D17</f>
        <v>Leadership</v>
      </c>
      <c r="B172" s="28" t="str">
        <f>'RAG Run 1'!E17</f>
        <v>LD3.3</v>
      </c>
      <c r="C172" s="29" t="str">
        <f>'RAG Run 1'!F17</f>
        <v>Conduct a Life-Cycle Assessment</v>
      </c>
      <c r="D172" s="28">
        <f>IF('RAG Run 1'!K17="","",'RAG Run 1'!K17)</f>
        <v>0</v>
      </c>
      <c r="E172" s="28">
        <f>IF('RAG Run 2'!K17="","",'RAG Run 2'!K17)</f>
        <v>0</v>
      </c>
      <c r="F172" s="28">
        <f>IF('RAG Run 3'!K17="","",'RAG Run 3'!K17)</f>
        <v>0</v>
      </c>
      <c r="G172" s="28">
        <f>IF('RAG Run 4'!K17="","",'RAG Run 4'!K17)</f>
        <v>0</v>
      </c>
      <c r="H172" s="28">
        <f>IF('RAG Run 5'!K17="","",'RAG Run 5'!K17)</f>
        <v>0</v>
      </c>
      <c r="I172" s="31" t="str">
        <f>IF(AND(D172=E172,E172=F172,F172=G172,G172=H172),"Yes","No")</f>
        <v>Yes</v>
      </c>
    </row>
    <row r="173" spans="1:9" x14ac:dyDescent="0.25">
      <c r="A173" s="32" t="str">
        <f>'RAG Run 1'!D18</f>
        <v>Natural World</v>
      </c>
      <c r="B173" s="33" t="str">
        <f>'RAG Run 1'!E18</f>
        <v>NW1.1</v>
      </c>
      <c r="C173" s="34" t="str">
        <f>'RAG Run 1'!F18</f>
        <v>Conserve Natural Areas</v>
      </c>
      <c r="D173" s="33">
        <f>IF('RAG Run 1'!K18="","",'RAG Run 1'!K18)</f>
        <v>0</v>
      </c>
      <c r="E173" s="33">
        <f>IF('RAG Run 2'!K18="","",'RAG Run 2'!K18)</f>
        <v>14.3</v>
      </c>
      <c r="F173" s="33">
        <f>IF('RAG Run 3'!K18="","",'RAG Run 3'!K18)</f>
        <v>0</v>
      </c>
      <c r="G173" s="33">
        <f>IF('RAG Run 4'!K18="","",'RAG Run 4'!K18)</f>
        <v>0</v>
      </c>
      <c r="H173" s="33">
        <f>IF('RAG Run 5'!K18="","",'RAG Run 5'!K18)</f>
        <v>14.3</v>
      </c>
      <c r="I173" s="36" t="str">
        <f>IF(AND(D173=E173,E173=F173,F173=G173,G173=H173),"Yes","No")</f>
        <v>No</v>
      </c>
    </row>
    <row r="174" spans="1:9" x14ac:dyDescent="0.25">
      <c r="A174" s="27" t="str">
        <f>'RAG Run 1'!D19</f>
        <v>Natural World</v>
      </c>
      <c r="B174" s="28" t="str">
        <f>'RAG Run 1'!E19</f>
        <v>NW1.2</v>
      </c>
      <c r="C174" s="29" t="str">
        <f>'RAG Run 1'!F19</f>
        <v>Provide Wetland and Surface Water Buffers</v>
      </c>
      <c r="D174" s="28">
        <f>IF('RAG Run 1'!K19="","",'RAG Run 1'!K19)</f>
        <v>0</v>
      </c>
      <c r="E174" s="28">
        <f>IF('RAG Run 2'!K19="","",'RAG Run 2'!K19)</f>
        <v>20</v>
      </c>
      <c r="F174" s="28">
        <f>IF('RAG Run 3'!K19="","",'RAG Run 3'!K19)</f>
        <v>0</v>
      </c>
      <c r="G174" s="28">
        <f>IF('RAG Run 4'!K19="","",'RAG Run 4'!K19)</f>
        <v>0</v>
      </c>
      <c r="H174" s="28">
        <f>IF('RAG Run 5'!K19="","",'RAG Run 5'!K19)</f>
        <v>20</v>
      </c>
      <c r="I174" s="31" t="str">
        <f>IF(AND(D174=E174,E174=F174,F174=G174,G174=H174),"Yes","No")</f>
        <v>No</v>
      </c>
    </row>
    <row r="175" spans="1:9" x14ac:dyDescent="0.25">
      <c r="A175" s="32" t="str">
        <f>'RAG Run 1'!D20</f>
        <v>Natural World</v>
      </c>
      <c r="B175" s="33" t="str">
        <f>'RAG Run 1'!E20</f>
        <v>NW2.2</v>
      </c>
      <c r="C175" s="34" t="str">
        <f>'RAG Run 1'!F20</f>
        <v>Manage Stormwater</v>
      </c>
      <c r="D175" s="33">
        <f>IF('RAG Run 1'!K20="","",'RAG Run 1'!K20)</f>
        <v>0</v>
      </c>
      <c r="E175" s="33">
        <f>IF('RAG Run 2'!K20="","",'RAG Run 2'!K20)</f>
        <v>8.3000000000000007</v>
      </c>
      <c r="F175" s="33">
        <f>IF('RAG Run 3'!K20="","",'RAG Run 3'!K20)</f>
        <v>0</v>
      </c>
      <c r="G175" s="33">
        <f>IF('RAG Run 4'!K20="","",'RAG Run 4'!K20)</f>
        <v>8.3000000000000007</v>
      </c>
      <c r="H175" s="33">
        <f>IF('RAG Run 5'!K20="","",'RAG Run 5'!K20)</f>
        <v>8.3000000000000007</v>
      </c>
      <c r="I175" s="36" t="str">
        <f>IF(AND(D175=E175,E175=F175,F175=G175,G175=H175),"Yes","No")</f>
        <v>No</v>
      </c>
    </row>
    <row r="176" spans="1:9" x14ac:dyDescent="0.25">
      <c r="A176" s="27" t="str">
        <f>'RAG Run 1'!D21</f>
        <v>Natural World</v>
      </c>
      <c r="B176" s="28" t="str">
        <f>'RAG Run 1'!E21</f>
        <v>NW2.4</v>
      </c>
      <c r="C176" s="29" t="str">
        <f>'RAG Run 1'!F21</f>
        <v>Protect Surface and Groundwater Quality</v>
      </c>
      <c r="D176" s="28">
        <f>IF('RAG Run 1'!K21="","",'RAG Run 1'!K21)</f>
        <v>0</v>
      </c>
      <c r="E176" s="28">
        <f>IF('RAG Run 2'!K21="","",'RAG Run 2'!K21)</f>
        <v>7.1</v>
      </c>
      <c r="F176" s="28">
        <f>IF('RAG Run 3'!K21="","",'RAG Run 3'!K21)</f>
        <v>0</v>
      </c>
      <c r="G176" s="28">
        <f>IF('RAG Run 4'!K21="","",'RAG Run 4'!K21)</f>
        <v>0</v>
      </c>
      <c r="H176" s="28">
        <f>IF('RAG Run 5'!K21="","",'RAG Run 5'!K21)</f>
        <v>7.1</v>
      </c>
      <c r="I176" s="31" t="str">
        <f>IF(AND(D176=E176,E176=F176,F176=G176,G176=H176),"Yes","No")</f>
        <v>No</v>
      </c>
    </row>
    <row r="177" spans="1:9" x14ac:dyDescent="0.25">
      <c r="A177" s="32" t="str">
        <f>'RAG Run 1'!D22</f>
        <v>Natural World</v>
      </c>
      <c r="B177" s="33" t="str">
        <f>'RAG Run 1'!E22</f>
        <v>NW3.3</v>
      </c>
      <c r="C177" s="34" t="str">
        <f>'RAG Run 1'!F22</f>
        <v>Maintain Floodplain Functions</v>
      </c>
      <c r="D177" s="33">
        <f>IF('RAG Run 1'!K22="","",'RAG Run 1'!K22)</f>
        <v>0</v>
      </c>
      <c r="E177" s="33">
        <f>IF('RAG Run 2'!K22="","",'RAG Run 2'!K22)</f>
        <v>7.1</v>
      </c>
      <c r="F177" s="33">
        <f>IF('RAG Run 3'!K22="","",'RAG Run 3'!K22)</f>
        <v>0</v>
      </c>
      <c r="G177" s="33">
        <f>IF('RAG Run 4'!K22="","",'RAG Run 4'!K22)</f>
        <v>0</v>
      </c>
      <c r="H177" s="33">
        <f>IF('RAG Run 5'!K22="","",'RAG Run 5'!K22)</f>
        <v>7.1</v>
      </c>
      <c r="I177" s="36" t="str">
        <f>IF(AND(D177=E177,E177=F177,F177=G177,G177=H177),"Yes","No")</f>
        <v>No</v>
      </c>
    </row>
    <row r="178" spans="1:9" x14ac:dyDescent="0.25">
      <c r="A178" s="27" t="str">
        <f>'RAG Run 1'!D23</f>
        <v>Natural World</v>
      </c>
      <c r="B178" s="28" t="str">
        <f>'RAG Run 1'!E23</f>
        <v>NW3.5</v>
      </c>
      <c r="C178" s="29" t="str">
        <f>'RAG Run 1'!F23</f>
        <v>Protect Soil Health</v>
      </c>
      <c r="D178" s="28">
        <f>IF('RAG Run 1'!K23="","",'RAG Run 1'!K23)</f>
        <v>0</v>
      </c>
      <c r="E178" s="28">
        <f>IF('RAG Run 2'!K23="","",'RAG Run 2'!K23)</f>
        <v>20</v>
      </c>
      <c r="F178" s="28">
        <f>IF('RAG Run 3'!K23="","",'RAG Run 3'!K23)</f>
        <v>0</v>
      </c>
      <c r="G178" s="28">
        <f>IF('RAG Run 4'!K23="","",'RAG Run 4'!K23)</f>
        <v>0</v>
      </c>
      <c r="H178" s="28">
        <f>IF('RAG Run 5'!K23="","",'RAG Run 5'!K23)</f>
        <v>10</v>
      </c>
      <c r="I178" s="31" t="str">
        <f>IF(AND(D178=E178,E178=F178,F178=G178,G178=H178),"Yes","No")</f>
        <v>No</v>
      </c>
    </row>
    <row r="179" spans="1:9" x14ac:dyDescent="0.25">
      <c r="A179" s="32" t="str">
        <f>'RAG Run 1'!D24</f>
        <v>Quality Of Life</v>
      </c>
      <c r="B179" s="33" t="str">
        <f>'RAG Run 1'!E24</f>
        <v>QL1.1</v>
      </c>
      <c r="C179" s="34" t="str">
        <f>'RAG Run 1'!F24</f>
        <v>Improve Community Quality of Life</v>
      </c>
      <c r="D179" s="33">
        <f>IF('RAG Run 1'!K24="","",'RAG Run 1'!K24)</f>
        <v>7.7</v>
      </c>
      <c r="E179" s="33">
        <f>IF('RAG Run 2'!K24="","",'RAG Run 2'!K24)</f>
        <v>19.2</v>
      </c>
      <c r="F179" s="33">
        <f>IF('RAG Run 3'!K24="","",'RAG Run 3'!K24)</f>
        <v>19.2</v>
      </c>
      <c r="G179" s="33">
        <f>IF('RAG Run 4'!K24="","",'RAG Run 4'!K24)</f>
        <v>7.7</v>
      </c>
      <c r="H179" s="33">
        <f>IF('RAG Run 5'!K24="","",'RAG Run 5'!K24)</f>
        <v>7.7</v>
      </c>
      <c r="I179" s="36" t="str">
        <f>IF(AND(D179=E179,E179=F179,F179=G179,G179=H179),"Yes","No")</f>
        <v>No</v>
      </c>
    </row>
    <row r="180" spans="1:9" x14ac:dyDescent="0.25">
      <c r="A180" s="27" t="str">
        <f>'RAG Run 1'!D25</f>
        <v>Quality Of Life</v>
      </c>
      <c r="B180" s="28" t="str">
        <f>'RAG Run 1'!E25</f>
        <v>QL1.2</v>
      </c>
      <c r="C180" s="29" t="str">
        <f>'RAG Run 1'!F25</f>
        <v>Enhance Public Health &amp; Safety</v>
      </c>
      <c r="D180" s="28">
        <f>IF('RAG Run 1'!K25="","",'RAG Run 1'!K25)</f>
        <v>10</v>
      </c>
      <c r="E180" s="28">
        <f>IF('RAG Run 2'!K25="","",'RAG Run 2'!K25)</f>
        <v>35</v>
      </c>
      <c r="F180" s="28">
        <f>IF('RAG Run 3'!K25="","",'RAG Run 3'!K25)</f>
        <v>35</v>
      </c>
      <c r="G180" s="28">
        <f>IF('RAG Run 4'!K25="","",'RAG Run 4'!K25)</f>
        <v>10</v>
      </c>
      <c r="H180" s="28">
        <f>IF('RAG Run 5'!K25="","",'RAG Run 5'!K25)</f>
        <v>10</v>
      </c>
      <c r="I180" s="31" t="str">
        <f>IF(AND(D180=E180,E180=F180,F180=G180,G180=H180),"Yes","No")</f>
        <v>No</v>
      </c>
    </row>
    <row r="181" spans="1:9" x14ac:dyDescent="0.25">
      <c r="A181" s="32" t="str">
        <f>'RAG Run 1'!D26</f>
        <v>Quality Of Life</v>
      </c>
      <c r="B181" s="33" t="str">
        <f>'RAG Run 1'!E26</f>
        <v>QL1.3</v>
      </c>
      <c r="C181" s="34" t="str">
        <f>'RAG Run 1'!F26</f>
        <v>Improve Construction Safety</v>
      </c>
      <c r="D181" s="33">
        <f>IF('RAG Run 1'!K26="","",'RAG Run 1'!K26)</f>
        <v>14.3</v>
      </c>
      <c r="E181" s="33">
        <f>IF('RAG Run 2'!K26="","",'RAG Run 2'!K26)</f>
        <v>35.700000000000003</v>
      </c>
      <c r="F181" s="33">
        <f>IF('RAG Run 3'!K26="","",'RAG Run 3'!K26)</f>
        <v>35.700000000000003</v>
      </c>
      <c r="G181" s="33">
        <f>IF('RAG Run 4'!K26="","",'RAG Run 4'!K26)</f>
        <v>14.3</v>
      </c>
      <c r="H181" s="33">
        <f>IF('RAG Run 5'!K26="","",'RAG Run 5'!K26)</f>
        <v>14.3</v>
      </c>
      <c r="I181" s="36" t="str">
        <f>IF(AND(D181=E181,E181=F181,F181=G181,G181=H181),"Yes","No")</f>
        <v>No</v>
      </c>
    </row>
    <row r="182" spans="1:9" x14ac:dyDescent="0.25">
      <c r="A182" s="27" t="str">
        <f>'RAG Run 1'!D27</f>
        <v>Quality Of Life</v>
      </c>
      <c r="B182" s="28" t="str">
        <f>'RAG Run 1'!E27</f>
        <v>QL1.4</v>
      </c>
      <c r="C182" s="29" t="str">
        <f>'RAG Run 1'!F27</f>
        <v>Minimize Noise &amp; Vibration</v>
      </c>
      <c r="D182" s="28">
        <f>IF('RAG Run 1'!K27="","",'RAG Run 1'!K27)</f>
        <v>8.3000000000000007</v>
      </c>
      <c r="E182" s="28">
        <f>IF('RAG Run 2'!K27="","",'RAG Run 2'!K27)</f>
        <v>25</v>
      </c>
      <c r="F182" s="28">
        <f>IF('RAG Run 3'!K27="","",'RAG Run 3'!K27)</f>
        <v>25</v>
      </c>
      <c r="G182" s="28">
        <f>IF('RAG Run 4'!K27="","",'RAG Run 4'!K27)</f>
        <v>8.3000000000000007</v>
      </c>
      <c r="H182" s="28">
        <f>IF('RAG Run 5'!K27="","",'RAG Run 5'!K27)</f>
        <v>8.3000000000000007</v>
      </c>
      <c r="I182" s="31" t="str">
        <f>IF(AND(D182=E182,E182=F182,F182=G182,G182=H182),"Yes","No")</f>
        <v>No</v>
      </c>
    </row>
    <row r="183" spans="1:9" x14ac:dyDescent="0.25">
      <c r="A183" s="32" t="str">
        <f>'RAG Run 1'!D28</f>
        <v>Quality Of Life</v>
      </c>
      <c r="B183" s="33" t="str">
        <f>'RAG Run 1'!E28</f>
        <v>QL1.5</v>
      </c>
      <c r="C183" s="34" t="str">
        <f>'RAG Run 1'!F28</f>
        <v>Minimize Light Pollution</v>
      </c>
      <c r="D183" s="33">
        <f>IF('RAG Run 1'!K28="","",'RAG Run 1'!K28)</f>
        <v>8.3000000000000007</v>
      </c>
      <c r="E183" s="33">
        <f>IF('RAG Run 2'!K28="","",'RAG Run 2'!K28)</f>
        <v>25</v>
      </c>
      <c r="F183" s="33">
        <f>IF('RAG Run 3'!K28="","",'RAG Run 3'!K28)</f>
        <v>25</v>
      </c>
      <c r="G183" s="33">
        <f>IF('RAG Run 4'!K28="","",'RAG Run 4'!K28)</f>
        <v>8.3000000000000007</v>
      </c>
      <c r="H183" s="33">
        <f>IF('RAG Run 5'!K28="","",'RAG Run 5'!K28)</f>
        <v>8.3000000000000007</v>
      </c>
      <c r="I183" s="36" t="str">
        <f>IF(AND(D183=E183,E183=F183,F183=G183,G183=H183),"Yes","No")</f>
        <v>No</v>
      </c>
    </row>
    <row r="184" spans="1:9" x14ac:dyDescent="0.25">
      <c r="A184" s="27" t="str">
        <f>'RAG Run 1'!D29</f>
        <v>Quality Of Life</v>
      </c>
      <c r="B184" s="28" t="str">
        <f>'RAG Run 1'!E29</f>
        <v>QL1.6</v>
      </c>
      <c r="C184" s="29" t="str">
        <f>'RAG Run 1'!F29</f>
        <v>Minimize Construction Impacts</v>
      </c>
      <c r="D184" s="28">
        <f>IF('RAG Run 1'!K29="","",'RAG Run 1'!K29)</f>
        <v>12.5</v>
      </c>
      <c r="E184" s="28">
        <f>IF('RAG Run 2'!K29="","",'RAG Run 2'!K29)</f>
        <v>25</v>
      </c>
      <c r="F184" s="28">
        <f>IF('RAG Run 3'!K29="","",'RAG Run 3'!K29)</f>
        <v>25</v>
      </c>
      <c r="G184" s="28">
        <f>IF('RAG Run 4'!K29="","",'RAG Run 4'!K29)</f>
        <v>12.5</v>
      </c>
      <c r="H184" s="28">
        <f>IF('RAG Run 5'!K29="","",'RAG Run 5'!K29)</f>
        <v>12.5</v>
      </c>
      <c r="I184" s="31" t="str">
        <f>IF(AND(D184=E184,E184=F184,F184=G184,G184=H184),"Yes","No")</f>
        <v>No</v>
      </c>
    </row>
    <row r="185" spans="1:9" x14ac:dyDescent="0.25">
      <c r="A185" s="32" t="str">
        <f>'RAG Run 1'!D30</f>
        <v>Quality Of Life</v>
      </c>
      <c r="B185" s="33" t="str">
        <f>'RAG Run 1'!E30</f>
        <v>QL2.1</v>
      </c>
      <c r="C185" s="34" t="str">
        <f>'RAG Run 1'!F30</f>
        <v>Improve Community Mobility</v>
      </c>
      <c r="D185" s="33">
        <f>IF('RAG Run 1'!K30="","",'RAG Run 1'!K30)</f>
        <v>7.1</v>
      </c>
      <c r="E185" s="33">
        <f>IF('RAG Run 2'!K30="","",'RAG Run 2'!K30)</f>
        <v>50</v>
      </c>
      <c r="F185" s="33">
        <f>IF('RAG Run 3'!K30="","",'RAG Run 3'!K30)</f>
        <v>50</v>
      </c>
      <c r="G185" s="33">
        <f>IF('RAG Run 4'!K30="","",'RAG Run 4'!K30)</f>
        <v>7.1</v>
      </c>
      <c r="H185" s="33">
        <f>IF('RAG Run 5'!K30="","",'RAG Run 5'!K30)</f>
        <v>7.1</v>
      </c>
      <c r="I185" s="36" t="str">
        <f>IF(AND(D185=E185,E185=F185,F185=G185,G185=H185),"Yes","No")</f>
        <v>No</v>
      </c>
    </row>
    <row r="186" spans="1:9" x14ac:dyDescent="0.25">
      <c r="A186" s="27" t="str">
        <f>'RAG Run 1'!D31</f>
        <v>Quality Of Life</v>
      </c>
      <c r="B186" s="28" t="str">
        <f>'RAG Run 1'!E31</f>
        <v>QL2.2</v>
      </c>
      <c r="C186" s="29" t="str">
        <f>'RAG Run 1'!F31</f>
        <v>Encourage Sustainable Transportation</v>
      </c>
      <c r="D186" s="28">
        <f>IF('RAG Run 1'!K31="","",'RAG Run 1'!K31)</f>
        <v>31.2</v>
      </c>
      <c r="E186" s="28">
        <f>IF('RAG Run 2'!K31="","",'RAG Run 2'!K31)</f>
        <v>31.2</v>
      </c>
      <c r="F186" s="28">
        <f>IF('RAG Run 3'!K31="","",'RAG Run 3'!K31)</f>
        <v>31.2</v>
      </c>
      <c r="G186" s="28">
        <f>IF('RAG Run 4'!K31="","",'RAG Run 4'!K31)</f>
        <v>31.2</v>
      </c>
      <c r="H186" s="28">
        <f>IF('RAG Run 5'!K31="","",'RAG Run 5'!K31)</f>
        <v>31.2</v>
      </c>
      <c r="I186" s="31" t="str">
        <f>IF(AND(D186=E186,E186=F186,F186=G186,G186=H186),"Yes","No")</f>
        <v>Yes</v>
      </c>
    </row>
    <row r="187" spans="1:9" x14ac:dyDescent="0.25">
      <c r="A187" s="32" t="str">
        <f>'RAG Run 1'!D32</f>
        <v>Quality Of Life</v>
      </c>
      <c r="B187" s="33" t="str">
        <f>'RAG Run 1'!E32</f>
        <v>QL2.3</v>
      </c>
      <c r="C187" s="34" t="str">
        <f>'RAG Run 1'!F32</f>
        <v>Improve Access &amp; Wayfinding</v>
      </c>
      <c r="D187" s="33">
        <f>IF('RAG Run 1'!K32="","",'RAG Run 1'!K32)</f>
        <v>7.1</v>
      </c>
      <c r="E187" s="33">
        <f>IF('RAG Run 2'!K32="","",'RAG Run 2'!K32)</f>
        <v>35.700000000000003</v>
      </c>
      <c r="F187" s="33">
        <f>IF('RAG Run 3'!K32="","",'RAG Run 3'!K32)</f>
        <v>64.3</v>
      </c>
      <c r="G187" s="33">
        <f>IF('RAG Run 4'!K32="","",'RAG Run 4'!K32)</f>
        <v>7.1</v>
      </c>
      <c r="H187" s="33">
        <f>IF('RAG Run 5'!K32="","",'RAG Run 5'!K32)</f>
        <v>7.1</v>
      </c>
      <c r="I187" s="36" t="str">
        <f>IF(AND(D187=E187,E187=F187,F187=G187,G187=H187),"Yes","No")</f>
        <v>No</v>
      </c>
    </row>
    <row r="188" spans="1:9" x14ac:dyDescent="0.25">
      <c r="A188" s="27" t="str">
        <f>'RAG Run 1'!D33</f>
        <v>Quality Of Life</v>
      </c>
      <c r="B188" s="28" t="str">
        <f>'RAG Run 1'!E33</f>
        <v>QL3.1</v>
      </c>
      <c r="C188" s="29" t="str">
        <f>'RAG Run 1'!F33</f>
        <v>Advance Equity &amp; Social Justice</v>
      </c>
      <c r="D188" s="28">
        <f>IF('RAG Run 1'!K33="","",'RAG Run 1'!K33)</f>
        <v>16.7</v>
      </c>
      <c r="E188" s="28">
        <f>IF('RAG Run 2'!K33="","",'RAG Run 2'!K33)</f>
        <v>33.299999999999997</v>
      </c>
      <c r="F188" s="28">
        <f>IF('RAG Run 3'!K33="","",'RAG Run 3'!K33)</f>
        <v>33.299999999999997</v>
      </c>
      <c r="G188" s="28">
        <f>IF('RAG Run 4'!K33="","",'RAG Run 4'!K33)</f>
        <v>16.7</v>
      </c>
      <c r="H188" s="28">
        <f>IF('RAG Run 5'!K33="","",'RAG Run 5'!K33)</f>
        <v>16.7</v>
      </c>
      <c r="I188" s="31" t="str">
        <f>IF(AND(D188=E188,E188=F188,F188=G188,G188=H188),"Yes","No")</f>
        <v>No</v>
      </c>
    </row>
    <row r="189" spans="1:9" x14ac:dyDescent="0.25">
      <c r="A189" s="32" t="str">
        <f>'RAG Run 1'!D34</f>
        <v>Quality Of Life</v>
      </c>
      <c r="B189" s="33" t="str">
        <f>'RAG Run 1'!E34</f>
        <v>QL3.2</v>
      </c>
      <c r="C189" s="34" t="str">
        <f>'RAG Run 1'!F34</f>
        <v>Preserve Historic &amp; Cultural Resources</v>
      </c>
      <c r="D189" s="33">
        <f>IF('RAG Run 1'!K34="","",'RAG Run 1'!K34)</f>
        <v>0</v>
      </c>
      <c r="E189" s="33">
        <f>IF('RAG Run 2'!K34="","",'RAG Run 2'!K34)</f>
        <v>11.1</v>
      </c>
      <c r="F189" s="33">
        <f>IF('RAG Run 3'!K34="","",'RAG Run 3'!K34)</f>
        <v>11.1</v>
      </c>
      <c r="G189" s="33">
        <f>IF('RAG Run 4'!K34="","",'RAG Run 4'!K34)</f>
        <v>0</v>
      </c>
      <c r="H189" s="33">
        <f>IF('RAG Run 5'!K34="","",'RAG Run 5'!K34)</f>
        <v>0</v>
      </c>
      <c r="I189" s="36" t="str">
        <f>IF(AND(D189=E189,E189=F189,F189=G189,G189=H189),"Yes","No")</f>
        <v>No</v>
      </c>
    </row>
    <row r="190" spans="1:9" x14ac:dyDescent="0.25">
      <c r="A190" s="27" t="str">
        <f>'RAG Run 1'!D35</f>
        <v>Quality Of Life</v>
      </c>
      <c r="B190" s="28" t="str">
        <f>'RAG Run 1'!E35</f>
        <v>QL3.3</v>
      </c>
      <c r="C190" s="29" t="str">
        <f>'RAG Run 1'!F35</f>
        <v>Enhance Views &amp; Local Character</v>
      </c>
      <c r="D190" s="28">
        <f>IF('RAG Run 1'!K35="","",'RAG Run 1'!K35)</f>
        <v>7.1</v>
      </c>
      <c r="E190" s="28">
        <f>IF('RAG Run 2'!K35="","",'RAG Run 2'!K35)</f>
        <v>21.4</v>
      </c>
      <c r="F190" s="28">
        <f>IF('RAG Run 3'!K35="","",'RAG Run 3'!K35)</f>
        <v>21.4</v>
      </c>
      <c r="G190" s="28">
        <f>IF('RAG Run 4'!K35="","",'RAG Run 4'!K35)</f>
        <v>7.1</v>
      </c>
      <c r="H190" s="28">
        <f>IF('RAG Run 5'!K35="","",'RAG Run 5'!K35)</f>
        <v>7.1</v>
      </c>
      <c r="I190" s="31" t="str">
        <f>IF(AND(D190=E190,E190=F190,F190=G190,G190=H190),"Yes","No")</f>
        <v>No</v>
      </c>
    </row>
    <row r="191" spans="1:9" x14ac:dyDescent="0.25">
      <c r="A191" s="32" t="str">
        <f>'RAG Run 1'!D36</f>
        <v>Resource Allocation</v>
      </c>
      <c r="B191" s="33" t="str">
        <f>'RAG Run 1'!E36</f>
        <v>RA1.1</v>
      </c>
      <c r="C191" s="34" t="str">
        <f>'RAG Run 1'!F36</f>
        <v>Reduce Materials Use</v>
      </c>
      <c r="D191" s="33">
        <f>IF('RAG Run 1'!K36="","",'RAG Run 1'!K36)</f>
        <v>0</v>
      </c>
      <c r="E191" s="33">
        <f>IF('RAG Run 2'!K36="","",'RAG Run 2'!K36)</f>
        <v>0</v>
      </c>
      <c r="F191" s="33">
        <f>IF('RAG Run 3'!K36="","",'RAG Run 3'!K36)</f>
        <v>0</v>
      </c>
      <c r="G191" s="33">
        <f>IF('RAG Run 4'!K36="","",'RAG Run 4'!K36)</f>
        <v>0</v>
      </c>
      <c r="H191" s="33">
        <f>IF('RAG Run 5'!K36="","",'RAG Run 5'!K36)</f>
        <v>0</v>
      </c>
      <c r="I191" s="36" t="str">
        <f>IF(AND(D191=E191,E191=F191,F191=G191,G191=H191),"Yes","No")</f>
        <v>Yes</v>
      </c>
    </row>
    <row r="192" spans="1:9" x14ac:dyDescent="0.25">
      <c r="A192" s="27" t="str">
        <f>'RAG Run 1'!D37</f>
        <v>Resource Allocation</v>
      </c>
      <c r="B192" s="28" t="str">
        <f>'RAG Run 1'!E37</f>
        <v>RA1.2</v>
      </c>
      <c r="C192" s="29" t="str">
        <f>'RAG Run 1'!F37</f>
        <v>Use Recycled Materials</v>
      </c>
      <c r="D192" s="28">
        <f>IF('RAG Run 1'!K37="","",'RAG Run 1'!K37)</f>
        <v>0</v>
      </c>
      <c r="E192" s="28">
        <f>IF('RAG Run 2'!K37="","",'RAG Run 2'!K37)</f>
        <v>0</v>
      </c>
      <c r="F192" s="28">
        <f>IF('RAG Run 3'!K37="","",'RAG Run 3'!K37)</f>
        <v>0</v>
      </c>
      <c r="G192" s="28">
        <f>IF('RAG Run 4'!K37="","",'RAG Run 4'!K37)</f>
        <v>0</v>
      </c>
      <c r="H192" s="28">
        <f>IF('RAG Run 5'!K37="","",'RAG Run 5'!K37)</f>
        <v>0</v>
      </c>
      <c r="I192" s="31" t="str">
        <f>IF(AND(D192=E192,E192=F192,F192=G192,G192=H192),"Yes","No")</f>
        <v>Yes</v>
      </c>
    </row>
    <row r="193" spans="1:9" x14ac:dyDescent="0.25">
      <c r="A193" s="32" t="str">
        <f>'RAG Run 1'!D38</f>
        <v>Resource Allocation</v>
      </c>
      <c r="B193" s="33" t="str">
        <f>'RAG Run 1'!E38</f>
        <v>RA1.3</v>
      </c>
      <c r="C193" s="34" t="str">
        <f>'RAG Run 1'!F38</f>
        <v>Reduce Operational Waste</v>
      </c>
      <c r="D193" s="33">
        <f>IF('RAG Run 1'!K38="","",'RAG Run 1'!K38)</f>
        <v>0</v>
      </c>
      <c r="E193" s="33">
        <f>IF('RAG Run 2'!K38="","",'RAG Run 2'!K38)</f>
        <v>0</v>
      </c>
      <c r="F193" s="33">
        <f>IF('RAG Run 3'!K38="","",'RAG Run 3'!K38)</f>
        <v>0</v>
      </c>
      <c r="G193" s="33">
        <f>IF('RAG Run 4'!K38="","",'RAG Run 4'!K38)</f>
        <v>0</v>
      </c>
      <c r="H193" s="33">
        <f>IF('RAG Run 5'!K38="","",'RAG Run 5'!K38)</f>
        <v>0</v>
      </c>
      <c r="I193" s="36" t="str">
        <f>IF(AND(D193=E193,E193=F193,F193=G193,G193=H193),"Yes","No")</f>
        <v>Yes</v>
      </c>
    </row>
    <row r="194" spans="1:9" x14ac:dyDescent="0.25">
      <c r="A194" s="27" t="str">
        <f>'RAG Run 1'!D39</f>
        <v>Resource Allocation</v>
      </c>
      <c r="B194" s="28" t="str">
        <f>'RAG Run 1'!E39</f>
        <v>RA1.4</v>
      </c>
      <c r="C194" s="29" t="str">
        <f>'RAG Run 1'!F39</f>
        <v>Reduce Construction Waste</v>
      </c>
      <c r="D194" s="28">
        <f>IF('RAG Run 1'!K39="","",'RAG Run 1'!K39)</f>
        <v>0</v>
      </c>
      <c r="E194" s="28">
        <f>IF('RAG Run 2'!K39="","",'RAG Run 2'!K39)</f>
        <v>0</v>
      </c>
      <c r="F194" s="28">
        <f>IF('RAG Run 3'!K39="","",'RAG Run 3'!K39)</f>
        <v>0</v>
      </c>
      <c r="G194" s="28">
        <f>IF('RAG Run 4'!K39="","",'RAG Run 4'!K39)</f>
        <v>0</v>
      </c>
      <c r="H194" s="28">
        <f>IF('RAG Run 5'!K39="","",'RAG Run 5'!K39)</f>
        <v>0</v>
      </c>
      <c r="I194" s="31" t="str">
        <f>IF(AND(D194=E194,E194=F194,F194=G194,G194=H194),"Yes","No")</f>
        <v>Yes</v>
      </c>
    </row>
    <row r="195" spans="1:9" x14ac:dyDescent="0.25">
      <c r="A195" s="32" t="str">
        <f>'RAG Run 1'!D40</f>
        <v>Resource Allocation</v>
      </c>
      <c r="B195" s="33" t="str">
        <f>'RAG Run 1'!E40</f>
        <v>RA1.5</v>
      </c>
      <c r="C195" s="34" t="str">
        <f>'RAG Run 1'!F40</f>
        <v>Balance Earthwork On Site</v>
      </c>
      <c r="D195" s="33">
        <f>IF('RAG Run 1'!K40="","",'RAG Run 1'!K40)</f>
        <v>0</v>
      </c>
      <c r="E195" s="33">
        <f>IF('RAG Run 2'!K40="","",'RAG Run 2'!K40)</f>
        <v>0</v>
      </c>
      <c r="F195" s="33">
        <f>IF('RAG Run 3'!K40="","",'RAG Run 3'!K40)</f>
        <v>0</v>
      </c>
      <c r="G195" s="33">
        <f>IF('RAG Run 4'!K40="","",'RAG Run 4'!K40)</f>
        <v>0</v>
      </c>
      <c r="H195" s="33">
        <f>IF('RAG Run 5'!K40="","",'RAG Run 5'!K40)</f>
        <v>0</v>
      </c>
      <c r="I195" s="36" t="str">
        <f>IF(AND(D195=E195,E195=F195,F195=G195,G195=H195),"Yes","No")</f>
        <v>Yes</v>
      </c>
    </row>
    <row r="196" spans="1:9" x14ac:dyDescent="0.25">
      <c r="A196" s="27" t="str">
        <f>'RAG Run 1'!D41</f>
        <v>Resource Allocation</v>
      </c>
      <c r="B196" s="28" t="str">
        <f>'RAG Run 1'!E41</f>
        <v>RA2.1</v>
      </c>
      <c r="C196" s="29" t="str">
        <f>'RAG Run 1'!F41</f>
        <v>Reduce Operational Energy Consumption</v>
      </c>
      <c r="D196" s="28">
        <f>IF('RAG Run 1'!K41="","",'RAG Run 1'!K41)</f>
        <v>0</v>
      </c>
      <c r="E196" s="28">
        <f>IF('RAG Run 2'!K41="","",'RAG Run 2'!K41)</f>
        <v>0</v>
      </c>
      <c r="F196" s="28">
        <f>IF('RAG Run 3'!K41="","",'RAG Run 3'!K41)</f>
        <v>0</v>
      </c>
      <c r="G196" s="28">
        <f>IF('RAG Run 4'!K41="","",'RAG Run 4'!K41)</f>
        <v>0</v>
      </c>
      <c r="H196" s="28">
        <f>IF('RAG Run 5'!K41="","",'RAG Run 5'!K41)</f>
        <v>0</v>
      </c>
      <c r="I196" s="31" t="str">
        <f>IF(AND(D196=E196,E196=F196,F196=G196,G196=H196),"Yes","No")</f>
        <v>Yes</v>
      </c>
    </row>
    <row r="197" spans="1:9" x14ac:dyDescent="0.25">
      <c r="A197" s="32" t="str">
        <f>'RAG Run 1'!D42</f>
        <v>Resource Allocation</v>
      </c>
      <c r="B197" s="33" t="str">
        <f>'RAG Run 1'!E42</f>
        <v>RA2.2</v>
      </c>
      <c r="C197" s="34" t="str">
        <f>'RAG Run 1'!F42</f>
        <v>Reduce Construction Energy Consumption</v>
      </c>
      <c r="D197" s="33">
        <f>IF('RAG Run 1'!K42="","",'RAG Run 1'!K42)</f>
        <v>0</v>
      </c>
      <c r="E197" s="33">
        <f>IF('RAG Run 2'!K42="","",'RAG Run 2'!K42)</f>
        <v>0</v>
      </c>
      <c r="F197" s="33">
        <f>IF('RAG Run 3'!K42="","",'RAG Run 3'!K42)</f>
        <v>0</v>
      </c>
      <c r="G197" s="33">
        <f>IF('RAG Run 4'!K42="","",'RAG Run 4'!K42)</f>
        <v>0</v>
      </c>
      <c r="H197" s="33">
        <f>IF('RAG Run 5'!K42="","",'RAG Run 5'!K42)</f>
        <v>0</v>
      </c>
      <c r="I197" s="36" t="str">
        <f>IF(AND(D197=E197,E197=F197,F197=G197,G197=H197),"Yes","No")</f>
        <v>Yes</v>
      </c>
    </row>
    <row r="198" spans="1:9" x14ac:dyDescent="0.25">
      <c r="A198" s="27" t="str">
        <f>'RAG Run 1'!D43</f>
        <v>Resource Allocation</v>
      </c>
      <c r="B198" s="28" t="str">
        <f>'RAG Run 1'!E43</f>
        <v>RA2.3</v>
      </c>
      <c r="C198" s="29" t="str">
        <f>'RAG Run 1'!F43</f>
        <v>Use Renewable Energy</v>
      </c>
      <c r="D198" s="28">
        <f>IF('RAG Run 1'!K43="","",'RAG Run 1'!K43)</f>
        <v>0</v>
      </c>
      <c r="E198" s="28">
        <f>IF('RAG Run 2'!K43="","",'RAG Run 2'!K43)</f>
        <v>0</v>
      </c>
      <c r="F198" s="28">
        <f>IF('RAG Run 3'!K43="","",'RAG Run 3'!K43)</f>
        <v>0</v>
      </c>
      <c r="G198" s="28">
        <f>IF('RAG Run 4'!K43="","",'RAG Run 4'!K43)</f>
        <v>0</v>
      </c>
      <c r="H198" s="28">
        <f>IF('RAG Run 5'!K43="","",'RAG Run 5'!K43)</f>
        <v>0</v>
      </c>
      <c r="I198" s="31" t="str">
        <f>IF(AND(D198=E198,E198=F198,F198=G198,G198=H198),"Yes","No")</f>
        <v>Yes</v>
      </c>
    </row>
    <row r="199" spans="1:9" x14ac:dyDescent="0.25">
      <c r="A199" s="32" t="str">
        <f>'RAG Run 1'!D44</f>
        <v>Resource Allocation</v>
      </c>
      <c r="B199" s="33" t="str">
        <f>'RAG Run 1'!E44</f>
        <v>RA2.4</v>
      </c>
      <c r="C199" s="34" t="str">
        <f>'RAG Run 1'!F44</f>
        <v>Commission and Monitor Energy Systems</v>
      </c>
      <c r="D199" s="33">
        <f>IF('RAG Run 1'!K44="","",'RAG Run 1'!K44)</f>
        <v>0</v>
      </c>
      <c r="E199" s="33">
        <f>IF('RAG Run 2'!K44="","",'RAG Run 2'!K44)</f>
        <v>0</v>
      </c>
      <c r="F199" s="33">
        <f>IF('RAG Run 3'!K44="","",'RAG Run 3'!K44)</f>
        <v>0</v>
      </c>
      <c r="G199" s="33">
        <f>IF('RAG Run 4'!K44="","",'RAG Run 4'!K44)</f>
        <v>0</v>
      </c>
      <c r="H199" s="33">
        <f>IF('RAG Run 5'!K44="","",'RAG Run 5'!K44)</f>
        <v>0</v>
      </c>
      <c r="I199" s="36" t="str">
        <f>IF(AND(D199=E199,E199=F199,F199=G199,G199=H199),"Yes","No")</f>
        <v>Yes</v>
      </c>
    </row>
    <row r="200" spans="1:9" x14ac:dyDescent="0.25">
      <c r="A200" s="27" t="str">
        <f>'RAG Run 1'!D45</f>
        <v>Resource Allocation</v>
      </c>
      <c r="B200" s="28" t="str">
        <f>'RAG Run 1'!E45</f>
        <v>RA3.1</v>
      </c>
      <c r="C200" s="29" t="str">
        <f>'RAG Run 1'!F45</f>
        <v>Preserve Water Resources</v>
      </c>
      <c r="D200" s="28">
        <f>IF('RAG Run 1'!K45="","",'RAG Run 1'!K45)</f>
        <v>0</v>
      </c>
      <c r="E200" s="28">
        <f>IF('RAG Run 2'!K45="","",'RAG Run 2'!K45)</f>
        <v>0</v>
      </c>
      <c r="F200" s="28">
        <f>IF('RAG Run 3'!K45="","",'RAG Run 3'!K45)</f>
        <v>0</v>
      </c>
      <c r="G200" s="28">
        <f>IF('RAG Run 4'!K45="","",'RAG Run 4'!K45)</f>
        <v>0</v>
      </c>
      <c r="H200" s="28">
        <f>IF('RAG Run 5'!K45="","",'RAG Run 5'!K45)</f>
        <v>0</v>
      </c>
      <c r="I200" s="31" t="str">
        <f>IF(AND(D200=E200,E200=F200,F200=G200,G200=H200),"Yes","No")</f>
        <v>Yes</v>
      </c>
    </row>
    <row r="201" spans="1:9" x14ac:dyDescent="0.25">
      <c r="A201" s="32" t="str">
        <f>'RAG Run 1'!D46</f>
        <v>Resource Allocation</v>
      </c>
      <c r="B201" s="33" t="str">
        <f>'RAG Run 1'!E46</f>
        <v>RA3.2</v>
      </c>
      <c r="C201" s="34" t="str">
        <f>'RAG Run 1'!F46</f>
        <v>Reduce Operational Water Consumption</v>
      </c>
      <c r="D201" s="33">
        <f>IF('RAG Run 1'!K46="","",'RAG Run 1'!K46)</f>
        <v>0</v>
      </c>
      <c r="E201" s="33">
        <f>IF('RAG Run 2'!K46="","",'RAG Run 2'!K46)</f>
        <v>0</v>
      </c>
      <c r="F201" s="33">
        <f>IF('RAG Run 3'!K46="","",'RAG Run 3'!K46)</f>
        <v>0</v>
      </c>
      <c r="G201" s="33">
        <f>IF('RAG Run 4'!K46="","",'RAG Run 4'!K46)</f>
        <v>0</v>
      </c>
      <c r="H201" s="33">
        <f>IF('RAG Run 5'!K46="","",'RAG Run 5'!K46)</f>
        <v>0</v>
      </c>
      <c r="I201" s="36" t="str">
        <f>IF(AND(D201=E201,E201=F201,F201=G201,G201=H201),"Yes","No")</f>
        <v>Yes</v>
      </c>
    </row>
    <row r="202" spans="1:9" x14ac:dyDescent="0.25">
      <c r="A202" s="27" t="str">
        <f>'RAG Run 1'!D47</f>
        <v>Resource Allocation</v>
      </c>
      <c r="B202" s="28" t="str">
        <f>'RAG Run 1'!E47</f>
        <v>RA3.3</v>
      </c>
      <c r="C202" s="29" t="str">
        <f>'RAG Run 1'!F47</f>
        <v>Reduce Construction Water Consumption</v>
      </c>
      <c r="D202" s="28">
        <f>IF('RAG Run 1'!K47="","",'RAG Run 1'!K47)</f>
        <v>0</v>
      </c>
      <c r="E202" s="28">
        <f>IF('RAG Run 2'!K47="","",'RAG Run 2'!K47)</f>
        <v>0</v>
      </c>
      <c r="F202" s="28">
        <f>IF('RAG Run 3'!K47="","",'RAG Run 3'!K47)</f>
        <v>0</v>
      </c>
      <c r="G202" s="28">
        <f>IF('RAG Run 4'!K47="","",'RAG Run 4'!K47)</f>
        <v>0</v>
      </c>
      <c r="H202" s="28">
        <f>IF('RAG Run 5'!K47="","",'RAG Run 5'!K47)</f>
        <v>0</v>
      </c>
      <c r="I202" s="31" t="str">
        <f>IF(AND(D202=E202,E202=F202,F202=G202,G202=H202),"Yes","No")</f>
        <v>Yes</v>
      </c>
    </row>
    <row r="203" spans="1:9" ht="15.75" thickBot="1" x14ac:dyDescent="0.3">
      <c r="A203" s="37" t="str">
        <f>'RAG Run 1'!D48</f>
        <v>Resource Allocation</v>
      </c>
      <c r="B203" s="38" t="str">
        <f>'RAG Run 1'!E48</f>
        <v>RA3.4</v>
      </c>
      <c r="C203" s="39" t="str">
        <f>'RAG Run 1'!F48</f>
        <v>Monitor Water Systems</v>
      </c>
      <c r="D203" s="38">
        <f>IF('RAG Run 1'!K48="","",'RAG Run 1'!K48)</f>
        <v>0</v>
      </c>
      <c r="E203" s="38">
        <f>IF('RAG Run 2'!K48="","",'RAG Run 2'!K48)</f>
        <v>0</v>
      </c>
      <c r="F203" s="38">
        <f>IF('RAG Run 3'!K48="","",'RAG Run 3'!K48)</f>
        <v>0</v>
      </c>
      <c r="G203" s="38">
        <f>IF('RAG Run 4'!K48="","",'RAG Run 4'!K48)</f>
        <v>0</v>
      </c>
      <c r="H203" s="38">
        <f>IF('RAG Run 5'!K48="","",'RAG Run 5'!K48)</f>
        <v>0</v>
      </c>
      <c r="I203" s="41" t="str">
        <f>IF(AND(D203=E203,E203=F203,F203=G203,G203=H203),"Yes","No")</f>
        <v>Yes</v>
      </c>
    </row>
    <row r="205" spans="1:9" x14ac:dyDescent="0.25">
      <c r="A205" s="20" t="s">
        <v>11</v>
      </c>
      <c r="B205" s="20"/>
      <c r="C205" s="20"/>
      <c r="D205" s="20"/>
      <c r="E205" s="20"/>
      <c r="F205" s="20"/>
      <c r="G205" s="20"/>
      <c r="H205" s="20"/>
      <c r="I205" s="20"/>
    </row>
    <row r="206" spans="1:9" ht="15.75" thickBot="1" x14ac:dyDescent="0.3">
      <c r="A206" s="21" t="s">
        <v>3</v>
      </c>
      <c r="B206" s="21" t="s">
        <v>4</v>
      </c>
      <c r="C206" s="21" t="s">
        <v>5</v>
      </c>
      <c r="D206" s="21" t="s">
        <v>1068</v>
      </c>
      <c r="E206" s="21" t="s">
        <v>1069</v>
      </c>
      <c r="F206" s="21" t="s">
        <v>1070</v>
      </c>
      <c r="G206" s="21" t="s">
        <v>1071</v>
      </c>
      <c r="H206" s="21" t="s">
        <v>1072</v>
      </c>
      <c r="I206" s="21" t="s">
        <v>1073</v>
      </c>
    </row>
    <row r="207" spans="1:9" ht="90" x14ac:dyDescent="0.25">
      <c r="A207" s="22" t="str">
        <f>'RAG Run 1'!D2</f>
        <v>Climate And Resilience</v>
      </c>
      <c r="B207" s="23" t="str">
        <f>'RAG Run 1'!E2</f>
        <v>CR2.1</v>
      </c>
      <c r="C207" s="24" t="str">
        <f>'RAG Run 1'!F2</f>
        <v>Avoid Unsuitable Development</v>
      </c>
      <c r="D207" s="13" t="str">
        <f>IF('RAG Run 1'!L2="","",'RAG Run 1'!L2)</f>
        <v/>
      </c>
      <c r="E207" s="13" t="str">
        <f>IF('RAG Run 2'!L2="","",'RAG Run 2'!L2)</f>
        <v>The project is located in Brownsville, PA, and has a significant impact on the community. It would be difficult to demonstrate that this credit is not relevant or applicable.</v>
      </c>
      <c r="F207" s="13" t="str">
        <f>IF('RAG Run 3'!L2="","",'RAG Run 3'!L2)</f>
        <v>The project is located in Brownsville, PA, and the PDF metadata does not indicate any unsuitable development.</v>
      </c>
      <c r="G207" s="13" t="str">
        <f>IF('RAG Run 4'!L2="","",'RAG Run 4'!L2)</f>
        <v/>
      </c>
      <c r="H207" s="13" t="str">
        <f>IF('RAG Run 5'!L2="","",'RAG Run 5'!L2)</f>
        <v>The project is located in Brownsville, PA, and the PDF metadata does not indicate that it avoids unsuitable development.</v>
      </c>
      <c r="I207" s="26" t="str">
        <f>IF(AND(D207=E207,E207=F207,F207=G207,G207=H207),"Yes","No")</f>
        <v>No</v>
      </c>
    </row>
    <row r="208" spans="1:9" ht="60" x14ac:dyDescent="0.25">
      <c r="A208" s="27" t="str">
        <f>'RAG Run 1'!D3</f>
        <v>Climate And Resilience</v>
      </c>
      <c r="B208" s="28" t="str">
        <f>'RAG Run 1'!E3</f>
        <v>CR2.2</v>
      </c>
      <c r="C208" s="29" t="str">
        <f>'RAG Run 1'!F3</f>
        <v>Assess Climate Change Vulnerability</v>
      </c>
      <c r="D208" s="14" t="str">
        <f>IF('RAG Run 1'!L3="","",'RAG Run 1'!L3)</f>
        <v/>
      </c>
      <c r="E208" s="14" t="str">
        <f>IF('RAG Run 2'!L3="","",'RAG Run 2'!L3)</f>
        <v>The project is potentially impacted by climate change, and it would be difficult to demonstrate that this credit is not relevant or applicable.</v>
      </c>
      <c r="F208" s="14" t="str">
        <f>IF('RAG Run 3'!L3="","",'RAG Run 3'!L3)</f>
        <v>The project is located in Brownsville, PA, and climate change vulnerability assessment is relevant to the project.</v>
      </c>
      <c r="G208" s="14" t="str">
        <f>IF('RAG Run 4'!L3="","",'RAG Run 4'!L3)</f>
        <v/>
      </c>
      <c r="H208" s="14" t="str">
        <f>IF('RAG Run 5'!L3="","",'RAG Run 5'!L3)</f>
        <v>The project is located in Brownsville, PA, and climate change vulnerability assessment is relevant to the project.</v>
      </c>
      <c r="I208" s="31" t="str">
        <f>IF(AND(D208=E208,E208=F208,F208=G208,G208=H208),"Yes","No")</f>
        <v>No</v>
      </c>
    </row>
    <row r="209" spans="1:9" ht="60" x14ac:dyDescent="0.25">
      <c r="A209" s="32" t="str">
        <f>'RAG Run 1'!D4</f>
        <v>Climate And Resilience</v>
      </c>
      <c r="B209" s="33" t="str">
        <f>'RAG Run 1'!E4</f>
        <v>CR2.3</v>
      </c>
      <c r="C209" s="34" t="str">
        <f>'RAG Run 1'!F4</f>
        <v>Evaluate Risk and Resilience</v>
      </c>
      <c r="D209" s="15" t="str">
        <f>IF('RAG Run 1'!L4="","",'RAG Run 1'!L4)</f>
        <v/>
      </c>
      <c r="E209" s="15" t="str">
        <f>IF('RAG Run 2'!L4="","",'RAG Run 2'!L4)</f>
        <v>The project is exposed to risks, and it would be difficult to demonstrate that this credit is not relevant or applicable.</v>
      </c>
      <c r="F209" s="15" t="str">
        <f>IF('RAG Run 3'!L4="","",'RAG Run 3'!L4)</f>
        <v>The project is located in Brownsville, PA, and risk and resilience evaluation is relevant to the project.</v>
      </c>
      <c r="G209" s="15" t="str">
        <f>IF('RAG Run 4'!L4="","",'RAG Run 4'!L4)</f>
        <v/>
      </c>
      <c r="H209" s="15" t="str">
        <f>IF('RAG Run 5'!L4="","",'RAG Run 5'!L4)</f>
        <v>The project is located in Brownsville, PA, and risk and resilience evaluation is relevant to the project.</v>
      </c>
      <c r="I209" s="36" t="str">
        <f>IF(AND(D209=E209,E209=F209,F209=G209,G209=H209),"Yes","No")</f>
        <v>No</v>
      </c>
    </row>
    <row r="210" spans="1:9" ht="60" x14ac:dyDescent="0.25">
      <c r="A210" s="27" t="str">
        <f>'RAG Run 1'!D5</f>
        <v>Climate And Resilience</v>
      </c>
      <c r="B210" s="28" t="str">
        <f>'RAG Run 1'!E5</f>
        <v>CR2.4</v>
      </c>
      <c r="C210" s="29" t="str">
        <f>'RAG Run 1'!F5</f>
        <v>Establish Resilience Goals and Strategies</v>
      </c>
      <c r="D210" s="14" t="str">
        <f>IF('RAG Run 1'!L5="","",'RAG Run 1'!L5)</f>
        <v/>
      </c>
      <c r="E210" s="14" t="str">
        <f>IF('RAG Run 2'!L5="","",'RAG Run 2'!L5)</f>
        <v>The project is exposed to risks, and it would be difficult to demonstrate that this credit is not relevant or applicable.</v>
      </c>
      <c r="F210" s="14" t="str">
        <f>IF('RAG Run 3'!L5="","",'RAG Run 3'!L5)</f>
        <v>The project is located in Brownsville, PA, and establishing resilience goals and strategies is relevant to the project.</v>
      </c>
      <c r="G210" s="14" t="str">
        <f>IF('RAG Run 4'!L5="","",'RAG Run 4'!L5)</f>
        <v/>
      </c>
      <c r="H210" s="14" t="str">
        <f>IF('RAG Run 5'!L5="","",'RAG Run 5'!L5)</f>
        <v>The project is located in Brownsville, PA, and establishing resilience goals and strategies is relevant to the project.</v>
      </c>
      <c r="I210" s="31" t="str">
        <f>IF(AND(D210=E210,E210=F210,F210=G210,G210=H210),"Yes","No")</f>
        <v>No</v>
      </c>
    </row>
    <row r="211" spans="1:9" ht="60" x14ac:dyDescent="0.25">
      <c r="A211" s="32" t="str">
        <f>'RAG Run 1'!D6</f>
        <v>Climate And Resilience</v>
      </c>
      <c r="B211" s="33" t="str">
        <f>'RAG Run 1'!E6</f>
        <v>CR2.5</v>
      </c>
      <c r="C211" s="34" t="str">
        <f>'RAG Run 1'!F6</f>
        <v>Maximize Resilience</v>
      </c>
      <c r="D211" s="15" t="str">
        <f>IF('RAG Run 1'!L6="","",'RAG Run 1'!L6)</f>
        <v/>
      </c>
      <c r="E211" s="15" t="str">
        <f>IF('RAG Run 2'!L6="","",'RAG Run 2'!L6)</f>
        <v>The project is exposed to risks, and it would be difficult to demonstrate that this credit is not relevant or applicable.</v>
      </c>
      <c r="F211" s="15" t="str">
        <f>IF('RAG Run 3'!L6="","",'RAG Run 3'!L6)</f>
        <v>The project is located in Brownsville, PA, and maximizing resilience is relevant to the project.</v>
      </c>
      <c r="G211" s="15" t="str">
        <f>IF('RAG Run 4'!L6="","",'RAG Run 4'!L6)</f>
        <v/>
      </c>
      <c r="H211" s="15" t="str">
        <f>IF('RAG Run 5'!L6="","",'RAG Run 5'!L6)</f>
        <v>The project is located in Brownsville, PA, and maximizing resilience is relevant to the project.</v>
      </c>
      <c r="I211" s="36" t="str">
        <f>IF(AND(D211=E211,E211=F211,F211=G211,G211=H211),"Yes","No")</f>
        <v>No</v>
      </c>
    </row>
    <row r="212" spans="1:9" ht="60" x14ac:dyDescent="0.25">
      <c r="A212" s="27" t="str">
        <f>'RAG Run 1'!D7</f>
        <v>Climate And Resilience</v>
      </c>
      <c r="B212" s="28" t="str">
        <f>'RAG Run 1'!E7</f>
        <v>CR2.6</v>
      </c>
      <c r="C212" s="29" t="str">
        <f>'RAG Run 1'!F7</f>
        <v>Improve Infrastructure Integration</v>
      </c>
      <c r="D212" s="14" t="str">
        <f>IF('RAG Run 1'!L7="","",'RAG Run 1'!L7)</f>
        <v/>
      </c>
      <c r="E212" s="14" t="str">
        <f>IF('RAG Run 2'!L7="","",'RAG Run 2'!L7)</f>
        <v>The project is part of a larger infrastructure system, and it would be difficult to demonstrate that this credit is not relevant or applicable.</v>
      </c>
      <c r="F212" s="14" t="str">
        <f>IF('RAG Run 3'!L7="","",'RAG Run 3'!L7)</f>
        <v>The project is located in Brownsville, PA, and improving infrastructure integration is relevant to the project.</v>
      </c>
      <c r="G212" s="14" t="str">
        <f>IF('RAG Run 4'!L7="","",'RAG Run 4'!L7)</f>
        <v/>
      </c>
      <c r="H212" s="14" t="str">
        <f>IF('RAG Run 5'!L7="","",'RAG Run 5'!L7)</f>
        <v>The project is located in Brownsville, PA, and improving infrastructure integration is relevant to the project.</v>
      </c>
      <c r="I212" s="31" t="str">
        <f>IF(AND(D212=E212,E212=F212,F212=G212,G212=H212),"Yes","No")</f>
        <v>No</v>
      </c>
    </row>
    <row r="213" spans="1:9" x14ac:dyDescent="0.25">
      <c r="A213" s="32" t="str">
        <f>'RAG Run 1'!D8</f>
        <v>Leadership</v>
      </c>
      <c r="B213" s="33" t="str">
        <f>'RAG Run 1'!E8</f>
        <v>LD1.1</v>
      </c>
      <c r="C213" s="34" t="str">
        <f>'RAG Run 1'!F8</f>
        <v>Provide Effective Leadership and Commitment</v>
      </c>
      <c r="D213" s="15" t="str">
        <f>IF('RAG Run 1'!L8="","",'RAG Run 1'!L8)</f>
        <v/>
      </c>
      <c r="E213" s="15" t="str">
        <f>IF('RAG Run 2'!L8="","",'RAG Run 2'!L8)</f>
        <v/>
      </c>
      <c r="F213" s="15" t="str">
        <f>IF('RAG Run 3'!L8="","",'RAG Run 3'!L8)</f>
        <v/>
      </c>
      <c r="G213" s="15" t="str">
        <f>IF('RAG Run 4'!L8="","",'RAG Run 4'!L8)</f>
        <v/>
      </c>
      <c r="H213" s="15" t="str">
        <f>IF('RAG Run 5'!L8="","",'RAG Run 5'!L8)</f>
        <v/>
      </c>
      <c r="I213" s="36" t="str">
        <f>IF(AND(D213=E213,E213=F213,F213=G213,G213=H213),"Yes","No")</f>
        <v>Yes</v>
      </c>
    </row>
    <row r="214" spans="1:9" x14ac:dyDescent="0.25">
      <c r="A214" s="27" t="str">
        <f>'RAG Run 1'!D9</f>
        <v>Leadership</v>
      </c>
      <c r="B214" s="28" t="str">
        <f>'RAG Run 1'!E9</f>
        <v>LD1.2</v>
      </c>
      <c r="C214" s="29" t="str">
        <f>'RAG Run 1'!F9</f>
        <v>Foster Collaboration and Teamwork</v>
      </c>
      <c r="D214" s="14" t="str">
        <f>IF('RAG Run 1'!L9="","",'RAG Run 1'!L9)</f>
        <v/>
      </c>
      <c r="E214" s="14" t="str">
        <f>IF('RAG Run 2'!L9="","",'RAG Run 2'!L9)</f>
        <v/>
      </c>
      <c r="F214" s="14" t="str">
        <f>IF('RAG Run 3'!L9="","",'RAG Run 3'!L9)</f>
        <v/>
      </c>
      <c r="G214" s="14" t="str">
        <f>IF('RAG Run 4'!L9="","",'RAG Run 4'!L9)</f>
        <v/>
      </c>
      <c r="H214" s="14" t="str">
        <f>IF('RAG Run 5'!L9="","",'RAG Run 5'!L9)</f>
        <v/>
      </c>
      <c r="I214" s="31" t="str">
        <f>IF(AND(D214=E214,E214=F214,F214=G214,G214=H214),"Yes","No")</f>
        <v>Yes</v>
      </c>
    </row>
    <row r="215" spans="1:9" x14ac:dyDescent="0.25">
      <c r="A215" s="32" t="str">
        <f>'RAG Run 1'!D10</f>
        <v>Leadership</v>
      </c>
      <c r="B215" s="33" t="str">
        <f>'RAG Run 1'!E10</f>
        <v>LD1.3</v>
      </c>
      <c r="C215" s="34" t="str">
        <f>'RAG Run 1'!F10</f>
        <v>Encourage Public Engagement and Participation</v>
      </c>
      <c r="D215" s="15" t="str">
        <f>IF('RAG Run 1'!L10="","",'RAG Run 1'!L10)</f>
        <v/>
      </c>
      <c r="E215" s="15" t="str">
        <f>IF('RAG Run 2'!L10="","",'RAG Run 2'!L10)</f>
        <v/>
      </c>
      <c r="F215" s="15" t="str">
        <f>IF('RAG Run 3'!L10="","",'RAG Run 3'!L10)</f>
        <v/>
      </c>
      <c r="G215" s="15" t="str">
        <f>IF('RAG Run 4'!L10="","",'RAG Run 4'!L10)</f>
        <v/>
      </c>
      <c r="H215" s="15" t="str">
        <f>IF('RAG Run 5'!L10="","",'RAG Run 5'!L10)</f>
        <v/>
      </c>
      <c r="I215" s="36" t="str">
        <f>IF(AND(D215=E215,E215=F215,F215=G215,G215=H215),"Yes","No")</f>
        <v>Yes</v>
      </c>
    </row>
    <row r="216" spans="1:9" x14ac:dyDescent="0.25">
      <c r="A216" s="27" t="str">
        <f>'RAG Run 1'!D11</f>
        <v>Leadership</v>
      </c>
      <c r="B216" s="28" t="str">
        <f>'RAG Run 1'!E11</f>
        <v>LD1.4</v>
      </c>
      <c r="C216" s="29" t="str">
        <f>'RAG Run 1'!F11</f>
        <v>Pursue Byproduct Synergies</v>
      </c>
      <c r="D216" s="14" t="str">
        <f>IF('RAG Run 1'!L11="","",'RAG Run 1'!L11)</f>
        <v/>
      </c>
      <c r="E216" s="14" t="str">
        <f>IF('RAG Run 2'!L11="","",'RAG Run 2'!L11)</f>
        <v/>
      </c>
      <c r="F216" s="14" t="str">
        <f>IF('RAG Run 3'!L11="","",'RAG Run 3'!L11)</f>
        <v/>
      </c>
      <c r="G216" s="14" t="str">
        <f>IF('RAG Run 4'!L11="","",'RAG Run 4'!L11)</f>
        <v/>
      </c>
      <c r="H216" s="14" t="str">
        <f>IF('RAG Run 5'!L11="","",'RAG Run 5'!L11)</f>
        <v/>
      </c>
      <c r="I216" s="31" t="str">
        <f>IF(AND(D216=E216,E216=F216,F216=G216,G216=H216),"Yes","No")</f>
        <v>Yes</v>
      </c>
    </row>
    <row r="217" spans="1:9" x14ac:dyDescent="0.25">
      <c r="A217" s="32" t="str">
        <f>'RAG Run 1'!D12</f>
        <v>Leadership</v>
      </c>
      <c r="B217" s="33" t="str">
        <f>'RAG Run 1'!E12</f>
        <v>LD2.1</v>
      </c>
      <c r="C217" s="34" t="str">
        <f>'RAG Run 1'!F12</f>
        <v>Establish a Sustainability Management Plan</v>
      </c>
      <c r="D217" s="15" t="str">
        <f>IF('RAG Run 1'!L12="","",'RAG Run 1'!L12)</f>
        <v/>
      </c>
      <c r="E217" s="15" t="str">
        <f>IF('RAG Run 2'!L12="","",'RAG Run 2'!L12)</f>
        <v/>
      </c>
      <c r="F217" s="15" t="str">
        <f>IF('RAG Run 3'!L12="","",'RAG Run 3'!L12)</f>
        <v/>
      </c>
      <c r="G217" s="15" t="str">
        <f>IF('RAG Run 4'!L12="","",'RAG Run 4'!L12)</f>
        <v/>
      </c>
      <c r="H217" s="15" t="str">
        <f>IF('RAG Run 5'!L12="","",'RAG Run 5'!L12)</f>
        <v/>
      </c>
      <c r="I217" s="36" t="str">
        <f>IF(AND(D217=E217,E217=F217,F217=G217,G217=H217),"Yes","No")</f>
        <v>Yes</v>
      </c>
    </row>
    <row r="218" spans="1:9" x14ac:dyDescent="0.25">
      <c r="A218" s="27" t="str">
        <f>'RAG Run 1'!D13</f>
        <v>Leadership</v>
      </c>
      <c r="B218" s="28" t="str">
        <f>'RAG Run 1'!E13</f>
        <v>LD2.2</v>
      </c>
      <c r="C218" s="29" t="str">
        <f>'RAG Run 1'!F13</f>
        <v>Plan for Sustainable Communities</v>
      </c>
      <c r="D218" s="14" t="str">
        <f>IF('RAG Run 1'!L13="","",'RAG Run 1'!L13)</f>
        <v/>
      </c>
      <c r="E218" s="14" t="str">
        <f>IF('RAG Run 2'!L13="","",'RAG Run 2'!L13)</f>
        <v/>
      </c>
      <c r="F218" s="14" t="str">
        <f>IF('RAG Run 3'!L13="","",'RAG Run 3'!L13)</f>
        <v/>
      </c>
      <c r="G218" s="14" t="str">
        <f>IF('RAG Run 4'!L13="","",'RAG Run 4'!L13)</f>
        <v/>
      </c>
      <c r="H218" s="14" t="str">
        <f>IF('RAG Run 5'!L13="","",'RAG Run 5'!L13)</f>
        <v/>
      </c>
      <c r="I218" s="31" t="str">
        <f>IF(AND(D218=E218,E218=F218,F218=G218,G218=H218),"Yes","No")</f>
        <v>Yes</v>
      </c>
    </row>
    <row r="219" spans="1:9" x14ac:dyDescent="0.25">
      <c r="A219" s="32" t="str">
        <f>'RAG Run 1'!D14</f>
        <v>Leadership</v>
      </c>
      <c r="B219" s="33" t="str">
        <f>'RAG Run 1'!E14</f>
        <v>LD2.3</v>
      </c>
      <c r="C219" s="34" t="str">
        <f>'RAG Run 1'!F14</f>
        <v>Conduct a Life-Cycle Economic Evaluation</v>
      </c>
      <c r="D219" s="15" t="str">
        <f>IF('RAG Run 1'!L14="","",'RAG Run 1'!L14)</f>
        <v/>
      </c>
      <c r="E219" s="15" t="str">
        <f>IF('RAG Run 2'!L14="","",'RAG Run 2'!L14)</f>
        <v/>
      </c>
      <c r="F219" s="15" t="str">
        <f>IF('RAG Run 3'!L14="","",'RAG Run 3'!L14)</f>
        <v/>
      </c>
      <c r="G219" s="15" t="str">
        <f>IF('RAG Run 4'!L14="","",'RAG Run 4'!L14)</f>
        <v/>
      </c>
      <c r="H219" s="15" t="str">
        <f>IF('RAG Run 5'!L14="","",'RAG Run 5'!L14)</f>
        <v/>
      </c>
      <c r="I219" s="36" t="str">
        <f>IF(AND(D219=E219,E219=F219,F219=G219,G219=H219),"Yes","No")</f>
        <v>Yes</v>
      </c>
    </row>
    <row r="220" spans="1:9" x14ac:dyDescent="0.25">
      <c r="A220" s="27" t="str">
        <f>'RAG Run 1'!D15</f>
        <v>Leadership</v>
      </c>
      <c r="B220" s="28" t="str">
        <f>'RAG Run 1'!E15</f>
        <v>LD3.1</v>
      </c>
      <c r="C220" s="29" t="str">
        <f>'RAG Run 1'!F15</f>
        <v>Develop a Construction Management Plan</v>
      </c>
      <c r="D220" s="14" t="str">
        <f>IF('RAG Run 1'!L15="","",'RAG Run 1'!L15)</f>
        <v/>
      </c>
      <c r="E220" s="14" t="str">
        <f>IF('RAG Run 2'!L15="","",'RAG Run 2'!L15)</f>
        <v/>
      </c>
      <c r="F220" s="14" t="str">
        <f>IF('RAG Run 3'!L15="","",'RAG Run 3'!L15)</f>
        <v/>
      </c>
      <c r="G220" s="14" t="str">
        <f>IF('RAG Run 4'!L15="","",'RAG Run 4'!L15)</f>
        <v/>
      </c>
      <c r="H220" s="14" t="str">
        <f>IF('RAG Run 5'!L15="","",'RAG Run 5'!L15)</f>
        <v/>
      </c>
      <c r="I220" s="31" t="str">
        <f>IF(AND(D220=E220,E220=F220,F220=G220,G220=H220),"Yes","No")</f>
        <v>Yes</v>
      </c>
    </row>
    <row r="221" spans="1:9" x14ac:dyDescent="0.25">
      <c r="A221" s="32" t="str">
        <f>'RAG Run 1'!D16</f>
        <v>Leadership</v>
      </c>
      <c r="B221" s="33" t="str">
        <f>'RAG Run 1'!E16</f>
        <v>LD3.2</v>
      </c>
      <c r="C221" s="34" t="str">
        <f>'RAG Run 1'!F16</f>
        <v>Implement a Quality Control and Assurance Plan</v>
      </c>
      <c r="D221" s="15" t="str">
        <f>IF('RAG Run 1'!L16="","",'RAG Run 1'!L16)</f>
        <v/>
      </c>
      <c r="E221" s="15" t="str">
        <f>IF('RAG Run 2'!L16="","",'RAG Run 2'!L16)</f>
        <v/>
      </c>
      <c r="F221" s="15" t="str">
        <f>IF('RAG Run 3'!L16="","",'RAG Run 3'!L16)</f>
        <v/>
      </c>
      <c r="G221" s="15" t="str">
        <f>IF('RAG Run 4'!L16="","",'RAG Run 4'!L16)</f>
        <v/>
      </c>
      <c r="H221" s="15" t="str">
        <f>IF('RAG Run 5'!L16="","",'RAG Run 5'!L16)</f>
        <v/>
      </c>
      <c r="I221" s="36" t="str">
        <f>IF(AND(D221=E221,E221=F221,F221=G221,G221=H221),"Yes","No")</f>
        <v>Yes</v>
      </c>
    </row>
    <row r="222" spans="1:9" x14ac:dyDescent="0.25">
      <c r="A222" s="27" t="str">
        <f>'RAG Run 1'!D17</f>
        <v>Leadership</v>
      </c>
      <c r="B222" s="28" t="str">
        <f>'RAG Run 1'!E17</f>
        <v>LD3.3</v>
      </c>
      <c r="C222" s="29" t="str">
        <f>'RAG Run 1'!F17</f>
        <v>Conduct a Life-Cycle Assessment</v>
      </c>
      <c r="D222" s="14" t="str">
        <f>IF('RAG Run 1'!L17="","",'RAG Run 1'!L17)</f>
        <v/>
      </c>
      <c r="E222" s="14" t="str">
        <f>IF('RAG Run 2'!L17="","",'RAG Run 2'!L17)</f>
        <v/>
      </c>
      <c r="F222" s="14" t="str">
        <f>IF('RAG Run 3'!L17="","",'RAG Run 3'!L17)</f>
        <v/>
      </c>
      <c r="G222" s="14" t="str">
        <f>IF('RAG Run 4'!L17="","",'RAG Run 4'!L17)</f>
        <v/>
      </c>
      <c r="H222" s="14" t="str">
        <f>IF('RAG Run 5'!L17="","",'RAG Run 5'!L17)</f>
        <v/>
      </c>
      <c r="I222" s="31" t="str">
        <f>IF(AND(D222=E222,E222=F222,F222=G222,G222=H222),"Yes","No")</f>
        <v>Yes</v>
      </c>
    </row>
    <row r="223" spans="1:9" ht="60" x14ac:dyDescent="0.25">
      <c r="A223" s="32" t="str">
        <f>'RAG Run 1'!D18</f>
        <v>Natural World</v>
      </c>
      <c r="B223" s="33" t="str">
        <f>'RAG Run 1'!E18</f>
        <v>NW1.1</v>
      </c>
      <c r="C223" s="34" t="str">
        <f>'RAG Run 1'!F18</f>
        <v>Conserve Natural Areas</v>
      </c>
      <c r="D223" s="15" t="str">
        <f>IF('RAG Run 1'!L18="","",'RAG Run 1'!L18)</f>
        <v>The project is located in an area with potential natural habitats and ecosystems, making conservation of natural areas relevant.</v>
      </c>
      <c r="E223" s="15" t="str">
        <f>IF('RAG Run 2'!L18="","",'RAG Run 2'!L18)</f>
        <v>The project is located in Brownsville, PA, and has a site plan, indicating potential natural areas to conserve.</v>
      </c>
      <c r="F223" s="15" t="str">
        <f>IF('RAG Run 3'!L18="","",'RAG Run 3'!L18)</f>
        <v>The project is located in an area with potential natural habitats, and the credit's intent is to conserve these areas.</v>
      </c>
      <c r="G223" s="15" t="str">
        <f>IF('RAG Run 4'!L18="","",'RAG Run 4'!L18)</f>
        <v>The project is located in a specific area (Brownsville, PA) and has a defined site boundary, indicating potential natural areas to conserve.</v>
      </c>
      <c r="H223" s="15" t="str">
        <f>IF('RAG Run 5'!L18="","",'RAG Run 5'!L18)</f>
        <v>The project is located in Brownsville, PA, and has a site plan, indicating potential natural areas to conserve.</v>
      </c>
      <c r="I223" s="36" t="str">
        <f>IF(AND(D223=E223,E223=F223,F223=G223,G223=H223),"Yes","No")</f>
        <v>No</v>
      </c>
    </row>
    <row r="224" spans="1:9" ht="75" x14ac:dyDescent="0.25">
      <c r="A224" s="27" t="str">
        <f>'RAG Run 1'!D19</f>
        <v>Natural World</v>
      </c>
      <c r="B224" s="28" t="str">
        <f>'RAG Run 1'!E19</f>
        <v>NW1.2</v>
      </c>
      <c r="C224" s="29" t="str">
        <f>'RAG Run 1'!F19</f>
        <v>Provide Wetland and Surface Water Buffers</v>
      </c>
      <c r="D224" s="14" t="str">
        <f>IF('RAG Run 1'!L19="","",'RAG Run 1'!L19)</f>
        <v>The project's location near water bodies makes wetland and surface water buffers relevant.</v>
      </c>
      <c r="E224" s="14" t="str">
        <f>IF('RAG Run 2'!L19="","",'RAG Run 2'!L19)</f>
        <v>The project has a site plan, indicating potential wetlands or surface water to buffer.</v>
      </c>
      <c r="F224" s="14" t="str">
        <f>IF('RAG Run 3'!L19="","",'RAG Run 3'!L19)</f>
        <v>The project is located near a water body, and the credit's intent is to provide buffers for wetlands and surface water.</v>
      </c>
      <c r="G224" s="14" t="str">
        <f>IF('RAG Run 4'!L19="","",'RAG Run 4'!L19)</f>
        <v>The project's location near a water body (implied by the presence of a stormwater management plan) suggests potential wetlands or surface waters that may require buffers.</v>
      </c>
      <c r="H224" s="14" t="str">
        <f>IF('RAG Run 5'!L19="","",'RAG Run 5'!L19)</f>
        <v>The project has a site plan, indicating potential wetlands or surface water to buffer.</v>
      </c>
      <c r="I224" s="31" t="str">
        <f>IF(AND(D224=E224,E224=F224,F224=G224,G224=H224),"Yes","No")</f>
        <v>No</v>
      </c>
    </row>
    <row r="225" spans="1:9" ht="45" x14ac:dyDescent="0.25">
      <c r="A225" s="32" t="str">
        <f>'RAG Run 1'!D20</f>
        <v>Natural World</v>
      </c>
      <c r="B225" s="33" t="str">
        <f>'RAG Run 1'!E20</f>
        <v>NW2.2</v>
      </c>
      <c r="C225" s="34" t="str">
        <f>'RAG Run 1'!F20</f>
        <v>Manage Stormwater</v>
      </c>
      <c r="D225" s="15" t="str">
        <f>IF('RAG Run 1'!L20="","",'RAG Run 1'!L20)</f>
        <v>The project's potential impact on stormwater runoff makes management relevant.</v>
      </c>
      <c r="E225" s="15" t="str">
        <f>IF('RAG Run 2'!L20="","",'RAG Run 2'!L20)</f>
        <v>The project has a site plan, indicating potential stormwater management needs.</v>
      </c>
      <c r="F225" s="15" t="str">
        <f>IF('RAG Run 3'!L20="","",'RAG Run 3'!L20)</f>
        <v>The project will impact stormwater runoff, and the credit's intent is to manage it.</v>
      </c>
      <c r="G225" s="15" t="str">
        <f>IF('RAG Run 4'!L20="","",'RAG Run 4'!L20)</f>
        <v>The project's stormwater management plan indicates an impact on stormwater runoff, making this credit applicable.</v>
      </c>
      <c r="H225" s="15" t="str">
        <f>IF('RAG Run 5'!L20="","",'RAG Run 5'!L20)</f>
        <v>The project has a site plan, indicating potential stormwater management needs.</v>
      </c>
      <c r="I225" s="36" t="str">
        <f>IF(AND(D225=E225,E225=F225,F225=G225,G225=H225),"Yes","No")</f>
        <v>No</v>
      </c>
    </row>
    <row r="226" spans="1:9" ht="60" x14ac:dyDescent="0.25">
      <c r="A226" s="27" t="str">
        <f>'RAG Run 1'!D21</f>
        <v>Natural World</v>
      </c>
      <c r="B226" s="28" t="str">
        <f>'RAG Run 1'!E21</f>
        <v>NW2.4</v>
      </c>
      <c r="C226" s="29" t="str">
        <f>'RAG Run 1'!F21</f>
        <v>Protect Surface and Groundwater Quality</v>
      </c>
      <c r="D226" s="14" t="str">
        <f>IF('RAG Run 1'!L21="","",'RAG Run 1'!L21)</f>
        <v>The project's potential impact on surface and groundwater quality makes protection relevant.</v>
      </c>
      <c r="E226" s="14" t="str">
        <f>IF('RAG Run 2'!L21="","",'RAG Run 2'!L21)</f>
        <v>The project has a site plan, indicating potential surface or groundwater quality concerns.</v>
      </c>
      <c r="F226" s="14" t="str">
        <f>IF('RAG Run 3'!L21="","",'RAG Run 3'!L21)</f>
        <v>The project will impact surface and groundwater quality, and the credit's intent is to protect it.</v>
      </c>
      <c r="G226" s="14" t="str">
        <f>IF('RAG Run 4'!L21="","",'RAG Run 4'!L21)</f>
        <v>The project's potential impact on surface and groundwater quality, as implied by the stormwater management plan, makes this credit applicable.</v>
      </c>
      <c r="H226" s="14" t="str">
        <f>IF('RAG Run 5'!L21="","",'RAG Run 5'!L21)</f>
        <v>The project has a site plan, indicating potential surface or groundwater quality concerns.</v>
      </c>
      <c r="I226" s="31" t="str">
        <f>IF(AND(D226=E226,E226=F226,F226=G226,G226=H226),"Yes","No")</f>
        <v>No</v>
      </c>
    </row>
    <row r="227" spans="1:9" ht="60" x14ac:dyDescent="0.25">
      <c r="A227" s="32" t="str">
        <f>'RAG Run 1'!D22</f>
        <v>Natural World</v>
      </c>
      <c r="B227" s="33" t="str">
        <f>'RAG Run 1'!E22</f>
        <v>NW3.3</v>
      </c>
      <c r="C227" s="34" t="str">
        <f>'RAG Run 1'!F22</f>
        <v>Maintain Floodplain Functions</v>
      </c>
      <c r="D227" s="15" t="str">
        <f>IF('RAG Run 1'!L22="","",'RAG Run 1'!L22)</f>
        <v>The project's location in a floodplain makes maintaining floodplain functions relevant.</v>
      </c>
      <c r="E227" s="15" t="str">
        <f>IF('RAG Run 2'!L22="","",'RAG Run 2'!L22)</f>
        <v>The project is located in Brownsville, PA, and has a site plan, indicating potential floodplain functions to maintain.</v>
      </c>
      <c r="F227" s="15" t="str">
        <f>IF('RAG Run 3'!L22="","",'RAG Run 3'!L22)</f>
        <v>The project is located in a floodplain, and the credit's intent is to maintain its functions.</v>
      </c>
      <c r="G227" s="15" t="str">
        <f>IF('RAG Run 4'!L22="","",'RAG Run 4'!L22)</f>
        <v>The project's location in a floodplain (implied by the presence of a stormwater management plan) suggests potential impacts on floodplain functions.</v>
      </c>
      <c r="H227" s="15" t="str">
        <f>IF('RAG Run 5'!L22="","",'RAG Run 5'!L22)</f>
        <v>The project is located in a floodplain, as indicated by the site plan.</v>
      </c>
      <c r="I227" s="36" t="str">
        <f>IF(AND(D227=E227,E227=F227,F227=G227,G227=H227),"Yes","No")</f>
        <v>No</v>
      </c>
    </row>
    <row r="228" spans="1:9" ht="45" x14ac:dyDescent="0.25">
      <c r="A228" s="27" t="str">
        <f>'RAG Run 1'!D23</f>
        <v>Natural World</v>
      </c>
      <c r="B228" s="28" t="str">
        <f>'RAG Run 1'!E23</f>
        <v>NW3.5</v>
      </c>
      <c r="C228" s="29" t="str">
        <f>'RAG Run 1'!F23</f>
        <v>Protect Soil Health</v>
      </c>
      <c r="D228" s="14" t="str">
        <f>IF('RAG Run 1'!L23="","",'RAG Run 1'!L23)</f>
        <v>The project's potential impact on soil health makes protection relevant.</v>
      </c>
      <c r="E228" s="14" t="str">
        <f>IF('RAG Run 2'!L23="","",'RAG Run 2'!L23)</f>
        <v>The project has a site plan, indicating potential soil health concerns.</v>
      </c>
      <c r="F228" s="14" t="str">
        <f>IF('RAG Run 3'!L23="","",'RAG Run 3'!L23)</f>
        <v>The project will impact soil health, and the credit's intent is to protect it.</v>
      </c>
      <c r="G228" s="14" t="str">
        <f>IF('RAG Run 4'!L23="","",'RAG Run 4'!L23)</f>
        <v>The project's potential impact on soil health, as implied by the presence of a site plan, makes this credit applicable.</v>
      </c>
      <c r="H228" s="14" t="str">
        <f>IF('RAG Run 5'!L23="","",'RAG Run 5'!L23)</f>
        <v>The project has a site plan, indicating potential soil health concerns.</v>
      </c>
      <c r="I228" s="31" t="str">
        <f>IF(AND(D228=E228,E228=F228,F228=G228,G228=H228),"Yes","No")</f>
        <v>No</v>
      </c>
    </row>
    <row r="229" spans="1:9" ht="90" x14ac:dyDescent="0.25">
      <c r="A229" s="32" t="str">
        <f>'RAG Run 1'!D24</f>
        <v>Quality Of Life</v>
      </c>
      <c r="B229" s="33" t="str">
        <f>'RAG Run 1'!E24</f>
        <v>QL1.1</v>
      </c>
      <c r="C229" s="34" t="str">
        <f>'RAG Run 1'!F24</f>
        <v>Improve Community Quality of Life</v>
      </c>
      <c r="D229" s="15" t="str">
        <f>IF('RAG Run 1'!L24="","",'RAG Run 1'!L24)</f>
        <v>The project is a mixed-use development with residential, commercial, and community spaces, indicating potential for community quality of life improvements.</v>
      </c>
      <c r="E229" s="15" t="str">
        <f>IF('RAG Run 2'!L24="","",'RAG Run 2'!L24)</f>
        <v>The project is a mixed-use development with residential, commercial, and community spaces, indicating potential for community quality of life improvements.</v>
      </c>
      <c r="F229" s="15" t="str">
        <f>IF('RAG Run 3'!L24="","",'RAG Run 3'!L24)</f>
        <v>The project is a mixed-use development with residential, commercial, and community spaces, indicating potential for community quality of life improvements.</v>
      </c>
      <c r="G229" s="15" t="str">
        <f>IF('RAG Run 4'!L24="","",'RAG Run 4'!L24)</f>
        <v>The project is a mixed-use development with residential, commercial, and community spaces, indicating potential for community quality of life improvements.</v>
      </c>
      <c r="H229" s="15" t="str">
        <f>IF('RAG Run 5'!L24="","",'RAG Run 5'!L24)</f>
        <v>The project is a mixed-use development with residential, commercial, and community spaces, indicating potential for community quality of life improvements.</v>
      </c>
      <c r="I229" s="36" t="str">
        <f>IF(AND(D229=E229,E229=F229,F229=G229,G229=H229),"Yes","No")</f>
        <v>Yes</v>
      </c>
    </row>
    <row r="230" spans="1:9" ht="60" x14ac:dyDescent="0.25">
      <c r="A230" s="27" t="str">
        <f>'RAG Run 1'!D25</f>
        <v>Quality Of Life</v>
      </c>
      <c r="B230" s="28" t="str">
        <f>'RAG Run 1'!E25</f>
        <v>QL1.2</v>
      </c>
      <c r="C230" s="29" t="str">
        <f>'RAG Run 1'!F25</f>
        <v>Enhance Public Health &amp; Safety</v>
      </c>
      <c r="D230" s="14" t="str">
        <f>IF('RAG Run 1'!L25="","",'RAG Run 1'!L25)</f>
        <v>The project includes residential and commercial spaces, which can impact public health and safety.</v>
      </c>
      <c r="E230" s="14" t="str">
        <f>IF('RAG Run 2'!L25="","",'RAG Run 2'!L25)</f>
        <v>The project includes residential and commercial spaces, indicating potential public health and safety concerns.</v>
      </c>
      <c r="F230" s="14" t="str">
        <f>IF('RAG Run 3'!L25="","",'RAG Run 3'!L25)</f>
        <v>The project includes residential and commercial spaces, indicating potential public health and safety concerns.</v>
      </c>
      <c r="G230" s="14" t="str">
        <f>IF('RAG Run 4'!L25="","",'RAG Run 4'!L25)</f>
        <v>The project includes residential units and commercial spaces, indicating potential public health and safety concerns.</v>
      </c>
      <c r="H230" s="14" t="str">
        <f>IF('RAG Run 5'!L25="","",'RAG Run 5'!L25)</f>
        <v>The project includes residential and commercial spaces, which can impact public health and safety.</v>
      </c>
      <c r="I230" s="31" t="str">
        <f>IF(AND(D230=E230,E230=F230,F230=G230,G230=H230),"Yes","No")</f>
        <v>No</v>
      </c>
    </row>
    <row r="231" spans="1:9" ht="45" x14ac:dyDescent="0.25">
      <c r="A231" s="32" t="str">
        <f>'RAG Run 1'!D26</f>
        <v>Quality Of Life</v>
      </c>
      <c r="B231" s="33" t="str">
        <f>'RAG Run 1'!E26</f>
        <v>QL1.3</v>
      </c>
      <c r="C231" s="34" t="str">
        <f>'RAG Run 1'!F26</f>
        <v>Improve Construction Safety</v>
      </c>
      <c r="D231" s="15" t="str">
        <f>IF('RAG Run 1'!L26="","",'RAG Run 1'!L26)</f>
        <v>The project involves construction activities that can impact worker safety.</v>
      </c>
      <c r="E231" s="15" t="str">
        <f>IF('RAG Run 2'!L26="","",'RAG Run 2'!L26)</f>
        <v>The project involves construction activities, indicating potential construction safety concerns.</v>
      </c>
      <c r="F231" s="15" t="str">
        <f>IF('RAG Run 3'!L26="","",'RAG Run 3'!L26)</f>
        <v>The project involves construction activities, indicating potential construction safety concerns.</v>
      </c>
      <c r="G231" s="15" t="str">
        <f>IF('RAG Run 4'!L26="","",'RAG Run 4'!L26)</f>
        <v>The project involves construction activities, indicating potential construction safety concerns.</v>
      </c>
      <c r="H231" s="15" t="str">
        <f>IF('RAG Run 5'!L26="","",'RAG Run 5'!L26)</f>
        <v>The project involves construction activities that can impact worker safety.</v>
      </c>
      <c r="I231" s="36" t="str">
        <f>IF(AND(D231=E231,E231=F231,F231=G231,G231=H231),"Yes","No")</f>
        <v>No</v>
      </c>
    </row>
    <row r="232" spans="1:9" ht="60" x14ac:dyDescent="0.25">
      <c r="A232" s="27" t="str">
        <f>'RAG Run 1'!D27</f>
        <v>Quality Of Life</v>
      </c>
      <c r="B232" s="28" t="str">
        <f>'RAG Run 1'!E27</f>
        <v>QL1.4</v>
      </c>
      <c r="C232" s="29" t="str">
        <f>'RAG Run 1'!F27</f>
        <v>Minimize Noise &amp; Vibration</v>
      </c>
      <c r="D232" s="14" t="str">
        <f>IF('RAG Run 1'!L27="","",'RAG Run 1'!L27)</f>
        <v>The project includes residential and commercial spaces that can be impacted by noise and vibration.</v>
      </c>
      <c r="E232" s="14" t="str">
        <f>IF('RAG Run 2'!L27="","",'RAG Run 2'!L27)</f>
        <v>The project includes residential and commercial spaces, indicating potential noise and vibration concerns.</v>
      </c>
      <c r="F232" s="14" t="str">
        <f>IF('RAG Run 3'!L27="","",'RAG Run 3'!L27)</f>
        <v>The project includes residential and commercial spaces, indicating potential noise and vibration concerns.</v>
      </c>
      <c r="G232" s="14" t="str">
        <f>IF('RAG Run 4'!L27="","",'RAG Run 4'!L27)</f>
        <v>The project includes residential units and commercial spaces, indicating potential noise and vibration concerns.</v>
      </c>
      <c r="H232" s="14" t="str">
        <f>IF('RAG Run 5'!L27="","",'RAG Run 5'!L27)</f>
        <v>The project includes residential and commercial spaces that can be impacted by noise and vibration.</v>
      </c>
      <c r="I232" s="31" t="str">
        <f>IF(AND(D232=E232,E232=F232,F232=G232,G232=H232),"Yes","No")</f>
        <v>No</v>
      </c>
    </row>
    <row r="233" spans="1:9" ht="45" x14ac:dyDescent="0.25">
      <c r="A233" s="32" t="str">
        <f>'RAG Run 1'!D28</f>
        <v>Quality Of Life</v>
      </c>
      <c r="B233" s="33" t="str">
        <f>'RAG Run 1'!E28</f>
        <v>QL1.5</v>
      </c>
      <c r="C233" s="34" t="str">
        <f>'RAG Run 1'!F28</f>
        <v>Minimize Light Pollution</v>
      </c>
      <c r="D233" s="15" t="str">
        <f>IF('RAG Run 1'!L28="","",'RAG Run 1'!L28)</f>
        <v>The project includes exterior lighting that can contribute to light pollution.</v>
      </c>
      <c r="E233" s="15" t="str">
        <f>IF('RAG Run 2'!L28="","",'RAG Run 2'!L28)</f>
        <v>The project includes exterior lighting, indicating potential light pollution concerns.</v>
      </c>
      <c r="F233" s="15" t="str">
        <f>IF('RAG Run 3'!L28="","",'RAG Run 3'!L28)</f>
        <v>The project includes exterior lighting, indicating potential light pollution concerns.</v>
      </c>
      <c r="G233" s="15" t="str">
        <f>IF('RAG Run 4'!L28="","",'RAG Run 4'!L28)</f>
        <v>The project includes exterior lighting, indicating potential light pollution concerns.</v>
      </c>
      <c r="H233" s="15" t="str">
        <f>IF('RAG Run 5'!L28="","",'RAG Run 5'!L28)</f>
        <v>The project includes exterior lighting that can contribute to light pollution.</v>
      </c>
      <c r="I233" s="36" t="str">
        <f>IF(AND(D233=E233,E233=F233,F233=G233,G233=H233),"Yes","No")</f>
        <v>No</v>
      </c>
    </row>
    <row r="234" spans="1:9" ht="45" x14ac:dyDescent="0.25">
      <c r="A234" s="27" t="str">
        <f>'RAG Run 1'!D29</f>
        <v>Quality Of Life</v>
      </c>
      <c r="B234" s="28" t="str">
        <f>'RAG Run 1'!E29</f>
        <v>QL1.6</v>
      </c>
      <c r="C234" s="29" t="str">
        <f>'RAG Run 1'!F29</f>
        <v>Minimize Construction Impacts</v>
      </c>
      <c r="D234" s="14" t="str">
        <f>IF('RAG Run 1'!L29="","",'RAG Run 1'!L29)</f>
        <v>The project involves construction activities that can impact the surrounding environment.</v>
      </c>
      <c r="E234" s="14" t="str">
        <f>IF('RAG Run 2'!L29="","",'RAG Run 2'!L29)</f>
        <v>The project involves construction activities, indicating potential construction impacts.</v>
      </c>
      <c r="F234" s="14" t="str">
        <f>IF('RAG Run 3'!L29="","",'RAG Run 3'!L29)</f>
        <v>The project involves construction activities, indicating potential construction impacts.</v>
      </c>
      <c r="G234" s="14" t="str">
        <f>IF('RAG Run 4'!L29="","",'RAG Run 4'!L29)</f>
        <v>The project involves construction activities, indicating potential construction impacts.</v>
      </c>
      <c r="H234" s="14" t="str">
        <f>IF('RAG Run 5'!L29="","",'RAG Run 5'!L29)</f>
        <v>The project involves construction activities that can impact the surrounding environment.</v>
      </c>
      <c r="I234" s="31" t="str">
        <f>IF(AND(D234=E234,E234=F234,F234=G234,G234=H234),"Yes","No")</f>
        <v>No</v>
      </c>
    </row>
    <row r="235" spans="1:9" ht="60" x14ac:dyDescent="0.25">
      <c r="A235" s="32" t="str">
        <f>'RAG Run 1'!D30</f>
        <v>Quality Of Life</v>
      </c>
      <c r="B235" s="33" t="str">
        <f>'RAG Run 1'!E30</f>
        <v>QL2.1</v>
      </c>
      <c r="C235" s="34" t="str">
        <f>'RAG Run 1'!F30</f>
        <v>Improve Community Mobility</v>
      </c>
      <c r="D235" s="15" t="str">
        <f>IF('RAG Run 1'!L30="","",'RAG Run 1'!L30)</f>
        <v>The project includes residential and commercial spaces that can impact community mobility.</v>
      </c>
      <c r="E235" s="15" t="str">
        <f>IF('RAG Run 2'!L30="","",'RAG Run 2'!L30)</f>
        <v>The project includes residential and commercial spaces, indicating potential community mobility concerns.</v>
      </c>
      <c r="F235" s="15" t="str">
        <f>IF('RAG Run 3'!L30="","",'RAG Run 3'!L30)</f>
        <v>The project includes residential and commercial spaces, indicating potential community mobility concerns.</v>
      </c>
      <c r="G235" s="15" t="str">
        <f>IF('RAG Run 4'!L30="","",'RAG Run 4'!L30)</f>
        <v>The project includes residential units and commercial spaces, indicating potential community mobility concerns.</v>
      </c>
      <c r="H235" s="15" t="str">
        <f>IF('RAG Run 5'!L30="","",'RAG Run 5'!L30)</f>
        <v>The project includes residential and commercial spaces that can impact community mobility.</v>
      </c>
      <c r="I235" s="36" t="str">
        <f>IF(AND(D235=E235,E235=F235,F235=G235,G235=H235),"Yes","No")</f>
        <v>No</v>
      </c>
    </row>
    <row r="236" spans="1:9" ht="60" x14ac:dyDescent="0.25">
      <c r="A236" s="27" t="str">
        <f>'RAG Run 1'!D31</f>
        <v>Quality Of Life</v>
      </c>
      <c r="B236" s="28" t="str">
        <f>'RAG Run 1'!E31</f>
        <v>QL2.2</v>
      </c>
      <c r="C236" s="29" t="str">
        <f>'RAG Run 1'!F31</f>
        <v>Encourage Sustainable Transportation</v>
      </c>
      <c r="D236" s="14" t="str">
        <f>IF('RAG Run 1'!L31="","",'RAG Run 1'!L31)</f>
        <v>The project includes parking and transportation infrastructure that can impact sustainable transportation.</v>
      </c>
      <c r="E236" s="14" t="str">
        <f>IF('RAG Run 2'!L31="","",'RAG Run 2'!L31)</f>
        <v>The project includes residential and commercial spaces, indicating potential sustainable transportation concerns.</v>
      </c>
      <c r="F236" s="14" t="str">
        <f>IF('RAG Run 3'!L31="","",'RAG Run 3'!L31)</f>
        <v>The project includes parking and transportation infrastructure, indicating potential sustainable transportation concerns.</v>
      </c>
      <c r="G236" s="14" t="str">
        <f>IF('RAG Run 4'!L31="","",'RAG Run 4'!L31)</f>
        <v>The project includes residential units and commercial spaces, indicating potential sustainable transportation concerns.</v>
      </c>
      <c r="H236" s="14" t="str">
        <f>IF('RAG Run 5'!L31="","",'RAG Run 5'!L31)</f>
        <v>The project includes parking and transportation infrastructure that can impact sustainable transportation options.</v>
      </c>
      <c r="I236" s="31" t="str">
        <f>IF(AND(D236=E236,E236=F236,F236=G236,G236=H236),"Yes","No")</f>
        <v>No</v>
      </c>
    </row>
    <row r="237" spans="1:9" ht="60" x14ac:dyDescent="0.25">
      <c r="A237" s="32" t="str">
        <f>'RAG Run 1'!D32</f>
        <v>Quality Of Life</v>
      </c>
      <c r="B237" s="33" t="str">
        <f>'RAG Run 1'!E32</f>
        <v>QL2.3</v>
      </c>
      <c r="C237" s="34" t="str">
        <f>'RAG Run 1'!F32</f>
        <v>Improve Access &amp; Wayfinding</v>
      </c>
      <c r="D237" s="15" t="str">
        <f>IF('RAG Run 1'!L32="","",'RAG Run 1'!L32)</f>
        <v>The project includes public spaces that can impact access and wayfinding.</v>
      </c>
      <c r="E237" s="15" t="str">
        <f>IF('RAG Run 2'!L32="","",'RAG Run 2'!L32)</f>
        <v>The project includes residential and commercial spaces, indicating potential access and wayfinding concerns.</v>
      </c>
      <c r="F237" s="15" t="str">
        <f>IF('RAG Run 3'!L32="","",'RAG Run 3'!L32)</f>
        <v>The project includes public spaces and navigation systems, indicating potential access and wayfinding concerns.</v>
      </c>
      <c r="G237" s="15" t="str">
        <f>IF('RAG Run 4'!L32="","",'RAG Run 4'!L32)</f>
        <v>The project includes residential units and commercial spaces, indicating potential access and wayfinding concerns.</v>
      </c>
      <c r="H237" s="15" t="str">
        <f>IF('RAG Run 5'!L32="","",'RAG Run 5'!L32)</f>
        <v>The project includes public spaces that can impact access and wayfinding.</v>
      </c>
      <c r="I237" s="36" t="str">
        <f>IF(AND(D237=E237,E237=F237,F237=G237,G237=H237),"Yes","No")</f>
        <v>No</v>
      </c>
    </row>
    <row r="238" spans="1:9" ht="60" x14ac:dyDescent="0.25">
      <c r="A238" s="27" t="str">
        <f>'RAG Run 1'!D33</f>
        <v>Quality Of Life</v>
      </c>
      <c r="B238" s="28" t="str">
        <f>'RAG Run 1'!E33</f>
        <v>QL3.1</v>
      </c>
      <c r="C238" s="29" t="str">
        <f>'RAG Run 1'!F33</f>
        <v>Advance Equity &amp; Social Justice</v>
      </c>
      <c r="D238" s="14" t="str">
        <f>IF('RAG Run 1'!L33="","",'RAG Run 1'!L33)</f>
        <v>The project includes community spaces that can impact equity and social justice.</v>
      </c>
      <c r="E238" s="14" t="str">
        <f>IF('RAG Run 2'!L33="","",'RAG Run 2'!L33)</f>
        <v>The project includes residential and commercial spaces, indicating potential equity and social justice concerns.</v>
      </c>
      <c r="F238" s="14" t="str">
        <f>IF('RAG Run 3'!L33="","",'RAG Run 3'!L33)</f>
        <v>The project includes community spaces and social programs, indicating potential equity and social justice concerns.</v>
      </c>
      <c r="G238" s="14" t="str">
        <f>IF('RAG Run 4'!L33="","",'RAG Run 4'!L33)</f>
        <v>The project includes residential units and commercial spaces, indicating potential equity and social justice concerns.</v>
      </c>
      <c r="H238" s="14" t="str">
        <f>IF('RAG Run 5'!L33="","",'RAG Run 5'!L33)</f>
        <v>The project includes community spaces that can impact social justice and equity.</v>
      </c>
      <c r="I238" s="31" t="str">
        <f>IF(AND(D238=E238,E238=F238,F238=G238,G238=H238),"Yes","No")</f>
        <v>No</v>
      </c>
    </row>
    <row r="239" spans="1:9" ht="45" x14ac:dyDescent="0.25">
      <c r="A239" s="32" t="str">
        <f>'RAG Run 1'!D34</f>
        <v>Quality Of Life</v>
      </c>
      <c r="B239" s="33" t="str">
        <f>'RAG Run 1'!E34</f>
        <v>QL3.2</v>
      </c>
      <c r="C239" s="34" t="str">
        <f>'RAG Run 1'!F34</f>
        <v>Preserve Historic &amp; Cultural Resources</v>
      </c>
      <c r="D239" s="15" t="str">
        <f>IF('RAG Run 1'!L34="","",'RAG Run 1'!L34)</f>
        <v>The project does not involve historic or cultural resources.</v>
      </c>
      <c r="E239" s="15" t="str">
        <f>IF('RAG Run 2'!L34="","",'RAG Run 2'!L34)</f>
        <v>The project is located in a historic district, indicating potential historic and cultural resource concerns.</v>
      </c>
      <c r="F239" s="15" t="str">
        <f>IF('RAG Run 3'!L34="","",'RAG Run 3'!L34)</f>
        <v>The project includes historic and cultural resources, indicating potential preservation concerns.</v>
      </c>
      <c r="G239" s="15" t="str">
        <f>IF('RAG Run 4'!L34="","",'RAG Run 4'!L34)</f>
        <v>The project does not involve historic or cultural resources.</v>
      </c>
      <c r="H239" s="15" t="str">
        <f>IF('RAG Run 5'!L34="","",'RAG Run 5'!L34)</f>
        <v>The project does not involve historic or cultural resources.</v>
      </c>
      <c r="I239" s="36" t="str">
        <f>IF(AND(D239=E239,E239=F239,F239=G239,G239=H239),"Yes","No")</f>
        <v>No</v>
      </c>
    </row>
    <row r="240" spans="1:9" ht="60" x14ac:dyDescent="0.25">
      <c r="A240" s="27" t="str">
        <f>'RAG Run 1'!D35</f>
        <v>Quality Of Life</v>
      </c>
      <c r="B240" s="28" t="str">
        <f>'RAG Run 1'!E35</f>
        <v>QL3.3</v>
      </c>
      <c r="C240" s="29" t="str">
        <f>'RAG Run 1'!F35</f>
        <v>Enhance Views &amp; Local Character</v>
      </c>
      <c r="D240" s="14" t="str">
        <f>IF('RAG Run 1'!L35="","",'RAG Run 1'!L35)</f>
        <v>The project includes public spaces that can impact views and local character.</v>
      </c>
      <c r="E240" s="14" t="str">
        <f>IF('RAG Run 2'!L35="","",'RAG Run 2'!L35)</f>
        <v>The project includes residential and commercial spaces, indicating potential view and local character concerns.</v>
      </c>
      <c r="F240" s="14" t="str">
        <f>IF('RAG Run 3'!L35="","",'RAG Run 3'!L35)</f>
        <v>The project includes public spaces and views, indicating potential view and local character concerns.</v>
      </c>
      <c r="G240" s="14" t="str">
        <f>IF('RAG Run 4'!L35="","",'RAG Run 4'!L35)</f>
        <v>The project includes residential units and commercial spaces, indicating potential views and local character concerns.</v>
      </c>
      <c r="H240" s="14" t="str">
        <f>IF('RAG Run 5'!L35="","",'RAG Run 5'!L35)</f>
        <v>The project includes public spaces that can impact views and local character.</v>
      </c>
      <c r="I240" s="31" t="str">
        <f>IF(AND(D240=E240,E240=F240,F240=G240,G240=H240),"Yes","No")</f>
        <v>No</v>
      </c>
    </row>
    <row r="241" spans="1:9" x14ac:dyDescent="0.25">
      <c r="A241" s="32" t="str">
        <f>'RAG Run 1'!D36</f>
        <v>Resource Allocation</v>
      </c>
      <c r="B241" s="33" t="str">
        <f>'RAG Run 1'!E36</f>
        <v>RA1.1</v>
      </c>
      <c r="C241" s="34" t="str">
        <f>'RAG Run 1'!F36</f>
        <v>Reduce Materials Use</v>
      </c>
      <c r="D241" s="15" t="str">
        <f>IF('RAG Run 1'!L36="","",'RAG Run 1'!L36)</f>
        <v/>
      </c>
      <c r="E241" s="15" t="str">
        <f>IF('RAG Run 2'!L36="","",'RAG Run 2'!L36)</f>
        <v/>
      </c>
      <c r="F241" s="15" t="str">
        <f>IF('RAG Run 3'!L36="","",'RAG Run 3'!L36)</f>
        <v/>
      </c>
      <c r="G241" s="15" t="str">
        <f>IF('RAG Run 4'!L36="","",'RAG Run 4'!L36)</f>
        <v/>
      </c>
      <c r="H241" s="15" t="str">
        <f>IF('RAG Run 5'!L36="","",'RAG Run 5'!L36)</f>
        <v/>
      </c>
      <c r="I241" s="36" t="str">
        <f>IF(AND(D241=E241,E241=F241,F241=G241,G241=H241),"Yes","No")</f>
        <v>Yes</v>
      </c>
    </row>
    <row r="242" spans="1:9" x14ac:dyDescent="0.25">
      <c r="A242" s="27" t="str">
        <f>'RAG Run 1'!D37</f>
        <v>Resource Allocation</v>
      </c>
      <c r="B242" s="28" t="str">
        <f>'RAG Run 1'!E37</f>
        <v>RA1.2</v>
      </c>
      <c r="C242" s="29" t="str">
        <f>'RAG Run 1'!F37</f>
        <v>Use Recycled Materials</v>
      </c>
      <c r="D242" s="14" t="str">
        <f>IF('RAG Run 1'!L37="","",'RAG Run 1'!L37)</f>
        <v/>
      </c>
      <c r="E242" s="14" t="str">
        <f>IF('RAG Run 2'!L37="","",'RAG Run 2'!L37)</f>
        <v/>
      </c>
      <c r="F242" s="14" t="str">
        <f>IF('RAG Run 3'!L37="","",'RAG Run 3'!L37)</f>
        <v/>
      </c>
      <c r="G242" s="14" t="str">
        <f>IF('RAG Run 4'!L37="","",'RAG Run 4'!L37)</f>
        <v/>
      </c>
      <c r="H242" s="14" t="str">
        <f>IF('RAG Run 5'!L37="","",'RAG Run 5'!L37)</f>
        <v/>
      </c>
      <c r="I242" s="31" t="str">
        <f>IF(AND(D242=E242,E242=F242,F242=G242,G242=H242),"Yes","No")</f>
        <v>Yes</v>
      </c>
    </row>
    <row r="243" spans="1:9" x14ac:dyDescent="0.25">
      <c r="A243" s="32" t="str">
        <f>'RAG Run 1'!D38</f>
        <v>Resource Allocation</v>
      </c>
      <c r="B243" s="33" t="str">
        <f>'RAG Run 1'!E38</f>
        <v>RA1.3</v>
      </c>
      <c r="C243" s="34" t="str">
        <f>'RAG Run 1'!F38</f>
        <v>Reduce Operational Waste</v>
      </c>
      <c r="D243" s="15" t="str">
        <f>IF('RAG Run 1'!L38="","",'RAG Run 1'!L38)</f>
        <v/>
      </c>
      <c r="E243" s="15" t="str">
        <f>IF('RAG Run 2'!L38="","",'RAG Run 2'!L38)</f>
        <v/>
      </c>
      <c r="F243" s="15" t="str">
        <f>IF('RAG Run 3'!L38="","",'RAG Run 3'!L38)</f>
        <v/>
      </c>
      <c r="G243" s="15" t="str">
        <f>IF('RAG Run 4'!L38="","",'RAG Run 4'!L38)</f>
        <v/>
      </c>
      <c r="H243" s="15" t="str">
        <f>IF('RAG Run 5'!L38="","",'RAG Run 5'!L38)</f>
        <v/>
      </c>
      <c r="I243" s="36" t="str">
        <f>IF(AND(D243=E243,E243=F243,F243=G243,G243=H243),"Yes","No")</f>
        <v>Yes</v>
      </c>
    </row>
    <row r="244" spans="1:9" x14ac:dyDescent="0.25">
      <c r="A244" s="27" t="str">
        <f>'RAG Run 1'!D39</f>
        <v>Resource Allocation</v>
      </c>
      <c r="B244" s="28" t="str">
        <f>'RAG Run 1'!E39</f>
        <v>RA1.4</v>
      </c>
      <c r="C244" s="29" t="str">
        <f>'RAG Run 1'!F39</f>
        <v>Reduce Construction Waste</v>
      </c>
      <c r="D244" s="14" t="str">
        <f>IF('RAG Run 1'!L39="","",'RAG Run 1'!L39)</f>
        <v/>
      </c>
      <c r="E244" s="14" t="str">
        <f>IF('RAG Run 2'!L39="","",'RAG Run 2'!L39)</f>
        <v/>
      </c>
      <c r="F244" s="14" t="str">
        <f>IF('RAG Run 3'!L39="","",'RAG Run 3'!L39)</f>
        <v/>
      </c>
      <c r="G244" s="14" t="str">
        <f>IF('RAG Run 4'!L39="","",'RAG Run 4'!L39)</f>
        <v/>
      </c>
      <c r="H244" s="14" t="str">
        <f>IF('RAG Run 5'!L39="","",'RAG Run 5'!L39)</f>
        <v/>
      </c>
      <c r="I244" s="31" t="str">
        <f>IF(AND(D244=E244,E244=F244,F244=G244,G244=H244),"Yes","No")</f>
        <v>Yes</v>
      </c>
    </row>
    <row r="245" spans="1:9" x14ac:dyDescent="0.25">
      <c r="A245" s="32" t="str">
        <f>'RAG Run 1'!D40</f>
        <v>Resource Allocation</v>
      </c>
      <c r="B245" s="33" t="str">
        <f>'RAG Run 1'!E40</f>
        <v>RA1.5</v>
      </c>
      <c r="C245" s="34" t="str">
        <f>'RAG Run 1'!F40</f>
        <v>Balance Earthwork On Site</v>
      </c>
      <c r="D245" s="15" t="str">
        <f>IF('RAG Run 1'!L40="","",'RAG Run 1'!L40)</f>
        <v/>
      </c>
      <c r="E245" s="15" t="str">
        <f>IF('RAG Run 2'!L40="","",'RAG Run 2'!L40)</f>
        <v/>
      </c>
      <c r="F245" s="15" t="str">
        <f>IF('RAG Run 3'!L40="","",'RAG Run 3'!L40)</f>
        <v/>
      </c>
      <c r="G245" s="15" t="str">
        <f>IF('RAG Run 4'!L40="","",'RAG Run 4'!L40)</f>
        <v/>
      </c>
      <c r="H245" s="15" t="str">
        <f>IF('RAG Run 5'!L40="","",'RAG Run 5'!L40)</f>
        <v/>
      </c>
      <c r="I245" s="36" t="str">
        <f>IF(AND(D245=E245,E245=F245,F245=G245,G245=H245),"Yes","No")</f>
        <v>Yes</v>
      </c>
    </row>
    <row r="246" spans="1:9" x14ac:dyDescent="0.25">
      <c r="A246" s="27" t="str">
        <f>'RAG Run 1'!D41</f>
        <v>Resource Allocation</v>
      </c>
      <c r="B246" s="28" t="str">
        <f>'RAG Run 1'!E41</f>
        <v>RA2.1</v>
      </c>
      <c r="C246" s="29" t="str">
        <f>'RAG Run 1'!F41</f>
        <v>Reduce Operational Energy Consumption</v>
      </c>
      <c r="D246" s="14" t="str">
        <f>IF('RAG Run 1'!L41="","",'RAG Run 1'!L41)</f>
        <v/>
      </c>
      <c r="E246" s="14" t="str">
        <f>IF('RAG Run 2'!L41="","",'RAG Run 2'!L41)</f>
        <v/>
      </c>
      <c r="F246" s="14" t="str">
        <f>IF('RAG Run 3'!L41="","",'RAG Run 3'!L41)</f>
        <v/>
      </c>
      <c r="G246" s="14" t="str">
        <f>IF('RAG Run 4'!L41="","",'RAG Run 4'!L41)</f>
        <v/>
      </c>
      <c r="H246" s="14" t="str">
        <f>IF('RAG Run 5'!L41="","",'RAG Run 5'!L41)</f>
        <v/>
      </c>
      <c r="I246" s="31" t="str">
        <f>IF(AND(D246=E246,E246=F246,F246=G246,G246=H246),"Yes","No")</f>
        <v>Yes</v>
      </c>
    </row>
    <row r="247" spans="1:9" x14ac:dyDescent="0.25">
      <c r="A247" s="32" t="str">
        <f>'RAG Run 1'!D42</f>
        <v>Resource Allocation</v>
      </c>
      <c r="B247" s="33" t="str">
        <f>'RAG Run 1'!E42</f>
        <v>RA2.2</v>
      </c>
      <c r="C247" s="34" t="str">
        <f>'RAG Run 1'!F42</f>
        <v>Reduce Construction Energy Consumption</v>
      </c>
      <c r="D247" s="15" t="str">
        <f>IF('RAG Run 1'!L42="","",'RAG Run 1'!L42)</f>
        <v/>
      </c>
      <c r="E247" s="15" t="str">
        <f>IF('RAG Run 2'!L42="","",'RAG Run 2'!L42)</f>
        <v/>
      </c>
      <c r="F247" s="15" t="str">
        <f>IF('RAG Run 3'!L42="","",'RAG Run 3'!L42)</f>
        <v/>
      </c>
      <c r="G247" s="15" t="str">
        <f>IF('RAG Run 4'!L42="","",'RAG Run 4'!L42)</f>
        <v/>
      </c>
      <c r="H247" s="15" t="str">
        <f>IF('RAG Run 5'!L42="","",'RAG Run 5'!L42)</f>
        <v/>
      </c>
      <c r="I247" s="36" t="str">
        <f>IF(AND(D247=E247,E247=F247,F247=G247,G247=H247),"Yes","No")</f>
        <v>Yes</v>
      </c>
    </row>
    <row r="248" spans="1:9" x14ac:dyDescent="0.25">
      <c r="A248" s="27" t="str">
        <f>'RAG Run 1'!D43</f>
        <v>Resource Allocation</v>
      </c>
      <c r="B248" s="28" t="str">
        <f>'RAG Run 1'!E43</f>
        <v>RA2.3</v>
      </c>
      <c r="C248" s="29" t="str">
        <f>'RAG Run 1'!F43</f>
        <v>Use Renewable Energy</v>
      </c>
      <c r="D248" s="14" t="str">
        <f>IF('RAG Run 1'!L43="","",'RAG Run 1'!L43)</f>
        <v/>
      </c>
      <c r="E248" s="14" t="str">
        <f>IF('RAG Run 2'!L43="","",'RAG Run 2'!L43)</f>
        <v/>
      </c>
      <c r="F248" s="14" t="str">
        <f>IF('RAG Run 3'!L43="","",'RAG Run 3'!L43)</f>
        <v/>
      </c>
      <c r="G248" s="14" t="str">
        <f>IF('RAG Run 4'!L43="","",'RAG Run 4'!L43)</f>
        <v/>
      </c>
      <c r="H248" s="14" t="str">
        <f>IF('RAG Run 5'!L43="","",'RAG Run 5'!L43)</f>
        <v/>
      </c>
      <c r="I248" s="31" t="str">
        <f>IF(AND(D248=E248,E248=F248,F248=G248,G248=H248),"Yes","No")</f>
        <v>Yes</v>
      </c>
    </row>
    <row r="249" spans="1:9" x14ac:dyDescent="0.25">
      <c r="A249" s="32" t="str">
        <f>'RAG Run 1'!D44</f>
        <v>Resource Allocation</v>
      </c>
      <c r="B249" s="33" t="str">
        <f>'RAG Run 1'!E44</f>
        <v>RA2.4</v>
      </c>
      <c r="C249" s="34" t="str">
        <f>'RAG Run 1'!F44</f>
        <v>Commission and Monitor Energy Systems</v>
      </c>
      <c r="D249" s="15" t="str">
        <f>IF('RAG Run 1'!L44="","",'RAG Run 1'!L44)</f>
        <v/>
      </c>
      <c r="E249" s="15" t="str">
        <f>IF('RAG Run 2'!L44="","",'RAG Run 2'!L44)</f>
        <v/>
      </c>
      <c r="F249" s="15" t="str">
        <f>IF('RAG Run 3'!L44="","",'RAG Run 3'!L44)</f>
        <v/>
      </c>
      <c r="G249" s="15" t="str">
        <f>IF('RAG Run 4'!L44="","",'RAG Run 4'!L44)</f>
        <v/>
      </c>
      <c r="H249" s="15" t="str">
        <f>IF('RAG Run 5'!L44="","",'RAG Run 5'!L44)</f>
        <v/>
      </c>
      <c r="I249" s="36" t="str">
        <f>IF(AND(D249=E249,E249=F249,F249=G249,G249=H249),"Yes","No")</f>
        <v>Yes</v>
      </c>
    </row>
    <row r="250" spans="1:9" x14ac:dyDescent="0.25">
      <c r="A250" s="27" t="str">
        <f>'RAG Run 1'!D45</f>
        <v>Resource Allocation</v>
      </c>
      <c r="B250" s="28" t="str">
        <f>'RAG Run 1'!E45</f>
        <v>RA3.1</v>
      </c>
      <c r="C250" s="29" t="str">
        <f>'RAG Run 1'!F45</f>
        <v>Preserve Water Resources</v>
      </c>
      <c r="D250" s="14" t="str">
        <f>IF('RAG Run 1'!L45="","",'RAG Run 1'!L45)</f>
        <v/>
      </c>
      <c r="E250" s="14" t="str">
        <f>IF('RAG Run 2'!L45="","",'RAG Run 2'!L45)</f>
        <v/>
      </c>
      <c r="F250" s="14" t="str">
        <f>IF('RAG Run 3'!L45="","",'RAG Run 3'!L45)</f>
        <v/>
      </c>
      <c r="G250" s="14" t="str">
        <f>IF('RAG Run 4'!L45="","",'RAG Run 4'!L45)</f>
        <v/>
      </c>
      <c r="H250" s="14" t="str">
        <f>IF('RAG Run 5'!L45="","",'RAG Run 5'!L45)</f>
        <v/>
      </c>
      <c r="I250" s="31" t="str">
        <f>IF(AND(D250=E250,E250=F250,F250=G250,G250=H250),"Yes","No")</f>
        <v>Yes</v>
      </c>
    </row>
    <row r="251" spans="1:9" x14ac:dyDescent="0.25">
      <c r="A251" s="32" t="str">
        <f>'RAG Run 1'!D46</f>
        <v>Resource Allocation</v>
      </c>
      <c r="B251" s="33" t="str">
        <f>'RAG Run 1'!E46</f>
        <v>RA3.2</v>
      </c>
      <c r="C251" s="34" t="str">
        <f>'RAG Run 1'!F46</f>
        <v>Reduce Operational Water Consumption</v>
      </c>
      <c r="D251" s="15" t="str">
        <f>IF('RAG Run 1'!L46="","",'RAG Run 1'!L46)</f>
        <v/>
      </c>
      <c r="E251" s="15" t="str">
        <f>IF('RAG Run 2'!L46="","",'RAG Run 2'!L46)</f>
        <v/>
      </c>
      <c r="F251" s="15" t="str">
        <f>IF('RAG Run 3'!L46="","",'RAG Run 3'!L46)</f>
        <v/>
      </c>
      <c r="G251" s="15" t="str">
        <f>IF('RAG Run 4'!L46="","",'RAG Run 4'!L46)</f>
        <v/>
      </c>
      <c r="H251" s="15" t="str">
        <f>IF('RAG Run 5'!L46="","",'RAG Run 5'!L46)</f>
        <v/>
      </c>
      <c r="I251" s="36" t="str">
        <f>IF(AND(D251=E251,E251=F251,F251=G251,G251=H251),"Yes","No")</f>
        <v>Yes</v>
      </c>
    </row>
    <row r="252" spans="1:9" x14ac:dyDescent="0.25">
      <c r="A252" s="27" t="str">
        <f>'RAG Run 1'!D47</f>
        <v>Resource Allocation</v>
      </c>
      <c r="B252" s="28" t="str">
        <f>'RAG Run 1'!E47</f>
        <v>RA3.3</v>
      </c>
      <c r="C252" s="29" t="str">
        <f>'RAG Run 1'!F47</f>
        <v>Reduce Construction Water Consumption</v>
      </c>
      <c r="D252" s="14" t="str">
        <f>IF('RAG Run 1'!L47="","",'RAG Run 1'!L47)</f>
        <v/>
      </c>
      <c r="E252" s="14" t="str">
        <f>IF('RAG Run 2'!L47="","",'RAG Run 2'!L47)</f>
        <v/>
      </c>
      <c r="F252" s="14" t="str">
        <f>IF('RAG Run 3'!L47="","",'RAG Run 3'!L47)</f>
        <v/>
      </c>
      <c r="G252" s="14" t="str">
        <f>IF('RAG Run 4'!L47="","",'RAG Run 4'!L47)</f>
        <v/>
      </c>
      <c r="H252" s="14" t="str">
        <f>IF('RAG Run 5'!L47="","",'RAG Run 5'!L47)</f>
        <v/>
      </c>
      <c r="I252" s="31" t="str">
        <f>IF(AND(D252=E252,E252=F252,F252=G252,G252=H252),"Yes","No")</f>
        <v>Yes</v>
      </c>
    </row>
    <row r="253" spans="1:9" ht="15.75" thickBot="1" x14ac:dyDescent="0.3">
      <c r="A253" s="37" t="str">
        <f>'RAG Run 1'!D48</f>
        <v>Resource Allocation</v>
      </c>
      <c r="B253" s="38" t="str">
        <f>'RAG Run 1'!E48</f>
        <v>RA3.4</v>
      </c>
      <c r="C253" s="39" t="str">
        <f>'RAG Run 1'!F48</f>
        <v>Monitor Water Systems</v>
      </c>
      <c r="D253" s="16" t="str">
        <f>IF('RAG Run 1'!L48="","",'RAG Run 1'!L48)</f>
        <v/>
      </c>
      <c r="E253" s="16" t="str">
        <f>IF('RAG Run 2'!L48="","",'RAG Run 2'!L48)</f>
        <v/>
      </c>
      <c r="F253" s="16" t="str">
        <f>IF('RAG Run 3'!L48="","",'RAG Run 3'!L48)</f>
        <v/>
      </c>
      <c r="G253" s="16" t="str">
        <f>IF('RAG Run 4'!L48="","",'RAG Run 4'!L48)</f>
        <v/>
      </c>
      <c r="H253" s="16" t="str">
        <f>IF('RAG Run 5'!L48="","",'RAG Run 5'!L48)</f>
        <v/>
      </c>
      <c r="I253" s="41" t="str">
        <f>IF(AND(D253=E253,E253=F253,F253=G253,G253=H253),"Yes","No")</f>
        <v>Yes</v>
      </c>
    </row>
    <row r="255" spans="1:9" ht="17.25" x14ac:dyDescent="0.25">
      <c r="A255" s="19" t="s">
        <v>1074</v>
      </c>
      <c r="B255" s="19"/>
      <c r="C255" s="19"/>
      <c r="D255" s="19"/>
      <c r="E255" s="19"/>
      <c r="F255" s="19"/>
      <c r="G255" s="19"/>
      <c r="H255" s="19"/>
      <c r="I255" s="19"/>
    </row>
    <row r="256" spans="1:9" x14ac:dyDescent="0.25">
      <c r="A256" s="20" t="s">
        <v>6</v>
      </c>
      <c r="B256" s="20"/>
      <c r="C256" s="20"/>
      <c r="D256" s="20"/>
      <c r="E256" s="20"/>
      <c r="F256" s="20"/>
      <c r="G256" s="20"/>
      <c r="H256" s="20"/>
      <c r="I256" s="20"/>
    </row>
    <row r="257" spans="1:9" ht="15.75" thickBot="1" x14ac:dyDescent="0.3">
      <c r="A257" s="21" t="s">
        <v>3</v>
      </c>
      <c r="B257" s="21" t="s">
        <v>4</v>
      </c>
      <c r="C257" s="21" t="s">
        <v>5</v>
      </c>
      <c r="D257" s="21" t="s">
        <v>1068</v>
      </c>
      <c r="E257" s="21" t="s">
        <v>1069</v>
      </c>
      <c r="F257" s="21" t="s">
        <v>1070</v>
      </c>
      <c r="G257" s="21" t="s">
        <v>1071</v>
      </c>
      <c r="H257" s="21" t="s">
        <v>1072</v>
      </c>
      <c r="I257" s="21" t="s">
        <v>1073</v>
      </c>
    </row>
    <row r="258" spans="1:9" x14ac:dyDescent="0.25">
      <c r="A258" s="22" t="str">
        <f>'Zero Shot Run 1'!D2</f>
        <v>Climate And Resilience</v>
      </c>
      <c r="B258" s="23" t="str">
        <f>'Zero Shot Run 1'!E2</f>
        <v>CR1.1</v>
      </c>
      <c r="C258" s="24" t="str">
        <f>'Zero Shot Run 1'!F2</f>
        <v>Reduce Net Embodied Carbon</v>
      </c>
      <c r="D258" s="25" t="str">
        <f>IF('Zero Shot Run 1'!G2="","",'Zero Shot Run 1'!G2)</f>
        <v/>
      </c>
      <c r="E258" s="25" t="str">
        <f>IF('Zero Shot Run 2'!G2="","",'Zero Shot Run 2'!G2)</f>
        <v/>
      </c>
      <c r="F258" s="25" t="str">
        <f>IF('Zero Shot Run 3'!G2="","",'Zero Shot Run 3'!G2)</f>
        <v/>
      </c>
      <c r="G258" s="25" t="str">
        <f>IF('Zero Shot Run 4'!G2="","",'Zero Shot Run 4'!G2)</f>
        <v/>
      </c>
      <c r="H258" s="25" t="str">
        <f>IF('Zero Shot Run 5'!G2="","",'Zero Shot Run 5'!G2)</f>
        <v/>
      </c>
      <c r="I258" s="26" t="str">
        <f>IF(AND(D258=E258,E258=F258,F258=G258,G258=H258),"Yes","No")</f>
        <v>Yes</v>
      </c>
    </row>
    <row r="259" spans="1:9" x14ac:dyDescent="0.25">
      <c r="A259" s="27" t="str">
        <f>'Zero Shot Run 1'!D3</f>
        <v>Climate And Resilience</v>
      </c>
      <c r="B259" s="28" t="str">
        <f>'Zero Shot Run 1'!E3</f>
        <v>CR1.2</v>
      </c>
      <c r="C259" s="29" t="str">
        <f>'Zero Shot Run 1'!F3</f>
        <v>Reduce Greenhouse Gas Emissions</v>
      </c>
      <c r="D259" s="30" t="str">
        <f>IF('Zero Shot Run 1'!G3="","",'Zero Shot Run 1'!G3)</f>
        <v/>
      </c>
      <c r="E259" s="30" t="str">
        <f>IF('Zero Shot Run 2'!G3="","",'Zero Shot Run 2'!G3)</f>
        <v/>
      </c>
      <c r="F259" s="30" t="str">
        <f>IF('Zero Shot Run 3'!G3="","",'Zero Shot Run 3'!G3)</f>
        <v/>
      </c>
      <c r="G259" s="30" t="str">
        <f>IF('Zero Shot Run 4'!G3="","",'Zero Shot Run 4'!G3)</f>
        <v/>
      </c>
      <c r="H259" s="30" t="str">
        <f>IF('Zero Shot Run 5'!G3="","",'Zero Shot Run 5'!G3)</f>
        <v/>
      </c>
      <c r="I259" s="31" t="str">
        <f>IF(AND(D259=E259,E259=F259,F259=G259,G259=H259),"Yes","No")</f>
        <v>Yes</v>
      </c>
    </row>
    <row r="260" spans="1:9" x14ac:dyDescent="0.25">
      <c r="A260" s="32" t="str">
        <f>'Zero Shot Run 1'!D4</f>
        <v>Climate And Resilience</v>
      </c>
      <c r="B260" s="33" t="str">
        <f>'Zero Shot Run 1'!E4</f>
        <v>CR1.3</v>
      </c>
      <c r="C260" s="34" t="str">
        <f>'Zero Shot Run 1'!F4</f>
        <v>Reduce Air Pollutant Emissions</v>
      </c>
      <c r="D260" s="35" t="str">
        <f>IF('Zero Shot Run 1'!G4="","",'Zero Shot Run 1'!G4)</f>
        <v/>
      </c>
      <c r="E260" s="35" t="str">
        <f>IF('Zero Shot Run 2'!G4="","",'Zero Shot Run 2'!G4)</f>
        <v/>
      </c>
      <c r="F260" s="35" t="str">
        <f>IF('Zero Shot Run 3'!G4="","",'Zero Shot Run 3'!G4)</f>
        <v/>
      </c>
      <c r="G260" s="35" t="str">
        <f>IF('Zero Shot Run 4'!G4="","",'Zero Shot Run 4'!G4)</f>
        <v/>
      </c>
      <c r="H260" s="35" t="str">
        <f>IF('Zero Shot Run 5'!G4="","",'Zero Shot Run 5'!G4)</f>
        <v/>
      </c>
      <c r="I260" s="36" t="str">
        <f>IF(AND(D260=E260,E260=F260,F260=G260,G260=H260),"Yes","No")</f>
        <v>Yes</v>
      </c>
    </row>
    <row r="261" spans="1:9" x14ac:dyDescent="0.25">
      <c r="A261" s="27" t="str">
        <f>'Zero Shot Run 1'!D5</f>
        <v>Climate And Resilience</v>
      </c>
      <c r="B261" s="28" t="str">
        <f>'Zero Shot Run 1'!E5</f>
        <v>CR2.1</v>
      </c>
      <c r="C261" s="29" t="str">
        <f>'Zero Shot Run 1'!F5</f>
        <v>Avoid Unsuitable Development</v>
      </c>
      <c r="D261" s="30" t="str">
        <f>IF('Zero Shot Run 1'!G5="","",'Zero Shot Run 1'!G5)</f>
        <v/>
      </c>
      <c r="E261" s="30" t="str">
        <f>IF('Zero Shot Run 2'!G5="","",'Zero Shot Run 2'!G5)</f>
        <v/>
      </c>
      <c r="F261" s="30" t="str">
        <f>IF('Zero Shot Run 3'!G5="","",'Zero Shot Run 3'!G5)</f>
        <v/>
      </c>
      <c r="G261" s="30" t="str">
        <f>IF('Zero Shot Run 4'!G5="","",'Zero Shot Run 4'!G5)</f>
        <v/>
      </c>
      <c r="H261" s="30" t="str">
        <f>IF('Zero Shot Run 5'!G5="","",'Zero Shot Run 5'!G5)</f>
        <v/>
      </c>
      <c r="I261" s="31" t="str">
        <f>IF(AND(D261=E261,E261=F261,F261=G261,G261=H261),"Yes","No")</f>
        <v>Yes</v>
      </c>
    </row>
    <row r="262" spans="1:9" x14ac:dyDescent="0.25">
      <c r="A262" s="32" t="str">
        <f>'Zero Shot Run 1'!D6</f>
        <v>Climate And Resilience</v>
      </c>
      <c r="B262" s="33" t="str">
        <f>'Zero Shot Run 1'!E6</f>
        <v>CR2.2</v>
      </c>
      <c r="C262" s="34" t="str">
        <f>'Zero Shot Run 1'!F6</f>
        <v>Assess Climate Change Vulnerability</v>
      </c>
      <c r="D262" s="35" t="str">
        <f>IF('Zero Shot Run 1'!G6="","",'Zero Shot Run 1'!G6)</f>
        <v/>
      </c>
      <c r="E262" s="35" t="str">
        <f>IF('Zero Shot Run 2'!G6="","",'Zero Shot Run 2'!G6)</f>
        <v/>
      </c>
      <c r="F262" s="35" t="str">
        <f>IF('Zero Shot Run 3'!G6="","",'Zero Shot Run 3'!G6)</f>
        <v/>
      </c>
      <c r="G262" s="35" t="str">
        <f>IF('Zero Shot Run 4'!G6="","",'Zero Shot Run 4'!G6)</f>
        <v/>
      </c>
      <c r="H262" s="35" t="str">
        <f>IF('Zero Shot Run 5'!G6="","",'Zero Shot Run 5'!G6)</f>
        <v/>
      </c>
      <c r="I262" s="36" t="str">
        <f>IF(AND(D262=E262,E262=F262,F262=G262,G262=H262),"Yes","No")</f>
        <v>Yes</v>
      </c>
    </row>
    <row r="263" spans="1:9" x14ac:dyDescent="0.25">
      <c r="A263" s="27" t="str">
        <f>'Zero Shot Run 1'!D7</f>
        <v>Climate And Resilience</v>
      </c>
      <c r="B263" s="28" t="str">
        <f>'Zero Shot Run 1'!E7</f>
        <v>CR2.3</v>
      </c>
      <c r="C263" s="29" t="str">
        <f>'Zero Shot Run 1'!F7</f>
        <v>Evaluate Risk and Resilience</v>
      </c>
      <c r="D263" s="30" t="str">
        <f>IF('Zero Shot Run 1'!G7="","",'Zero Shot Run 1'!G7)</f>
        <v/>
      </c>
      <c r="E263" s="30" t="str">
        <f>IF('Zero Shot Run 2'!G7="","",'Zero Shot Run 2'!G7)</f>
        <v/>
      </c>
      <c r="F263" s="30" t="str">
        <f>IF('Zero Shot Run 3'!G7="","",'Zero Shot Run 3'!G7)</f>
        <v/>
      </c>
      <c r="G263" s="30" t="str">
        <f>IF('Zero Shot Run 4'!G7="","",'Zero Shot Run 4'!G7)</f>
        <v/>
      </c>
      <c r="H263" s="30" t="str">
        <f>IF('Zero Shot Run 5'!G7="","",'Zero Shot Run 5'!G7)</f>
        <v/>
      </c>
      <c r="I263" s="31" t="str">
        <f>IF(AND(D263=E263,E263=F263,F263=G263,G263=H263),"Yes","No")</f>
        <v>Yes</v>
      </c>
    </row>
    <row r="264" spans="1:9" x14ac:dyDescent="0.25">
      <c r="A264" s="32" t="str">
        <f>'Zero Shot Run 1'!D8</f>
        <v>Climate And Resilience</v>
      </c>
      <c r="B264" s="33" t="str">
        <f>'Zero Shot Run 1'!E8</f>
        <v>CR2.4</v>
      </c>
      <c r="C264" s="34" t="str">
        <f>'Zero Shot Run 1'!F8</f>
        <v>Establish Resilience Goals and Strategies</v>
      </c>
      <c r="D264" s="35" t="str">
        <f>IF('Zero Shot Run 1'!G8="","",'Zero Shot Run 1'!G8)</f>
        <v/>
      </c>
      <c r="E264" s="35" t="str">
        <f>IF('Zero Shot Run 2'!G8="","",'Zero Shot Run 2'!G8)</f>
        <v/>
      </c>
      <c r="F264" s="35" t="str">
        <f>IF('Zero Shot Run 3'!G8="","",'Zero Shot Run 3'!G8)</f>
        <v/>
      </c>
      <c r="G264" s="35" t="str">
        <f>IF('Zero Shot Run 4'!G8="","",'Zero Shot Run 4'!G8)</f>
        <v/>
      </c>
      <c r="H264" s="35" t="str">
        <f>IF('Zero Shot Run 5'!G8="","",'Zero Shot Run 5'!G8)</f>
        <v/>
      </c>
      <c r="I264" s="36" t="str">
        <f>IF(AND(D264=E264,E264=F264,F264=G264,G264=H264),"Yes","No")</f>
        <v>Yes</v>
      </c>
    </row>
    <row r="265" spans="1:9" x14ac:dyDescent="0.25">
      <c r="A265" s="27" t="str">
        <f>'Zero Shot Run 1'!D9</f>
        <v>Climate And Resilience</v>
      </c>
      <c r="B265" s="28" t="str">
        <f>'Zero Shot Run 1'!E9</f>
        <v>CR2.5</v>
      </c>
      <c r="C265" s="29" t="str">
        <f>'Zero Shot Run 1'!F9</f>
        <v>Maximize Resilience</v>
      </c>
      <c r="D265" s="30" t="str">
        <f>IF('Zero Shot Run 1'!G9="","",'Zero Shot Run 1'!G9)</f>
        <v/>
      </c>
      <c r="E265" s="30" t="str">
        <f>IF('Zero Shot Run 2'!G9="","",'Zero Shot Run 2'!G9)</f>
        <v/>
      </c>
      <c r="F265" s="30" t="str">
        <f>IF('Zero Shot Run 3'!G9="","",'Zero Shot Run 3'!G9)</f>
        <v/>
      </c>
      <c r="G265" s="30" t="str">
        <f>IF('Zero Shot Run 4'!G9="","",'Zero Shot Run 4'!G9)</f>
        <v/>
      </c>
      <c r="H265" s="30" t="str">
        <f>IF('Zero Shot Run 5'!G9="","",'Zero Shot Run 5'!G9)</f>
        <v/>
      </c>
      <c r="I265" s="31" t="str">
        <f>IF(AND(D265=E265,E265=F265,F265=G265,G265=H265),"Yes","No")</f>
        <v>Yes</v>
      </c>
    </row>
    <row r="266" spans="1:9" x14ac:dyDescent="0.25">
      <c r="A266" s="32" t="str">
        <f>'Zero Shot Run 1'!D10</f>
        <v>Climate And Resilience</v>
      </c>
      <c r="B266" s="33" t="str">
        <f>'Zero Shot Run 1'!E10</f>
        <v>CR2.6</v>
      </c>
      <c r="C266" s="34" t="str">
        <f>'Zero Shot Run 1'!F10</f>
        <v>Improve Infrastructure Integration</v>
      </c>
      <c r="D266" s="35" t="str">
        <f>IF('Zero Shot Run 1'!G10="","",'Zero Shot Run 1'!G10)</f>
        <v/>
      </c>
      <c r="E266" s="35" t="str">
        <f>IF('Zero Shot Run 2'!G10="","",'Zero Shot Run 2'!G10)</f>
        <v/>
      </c>
      <c r="F266" s="35" t="str">
        <f>IF('Zero Shot Run 3'!G10="","",'Zero Shot Run 3'!G10)</f>
        <v/>
      </c>
      <c r="G266" s="35" t="str">
        <f>IF('Zero Shot Run 4'!G10="","",'Zero Shot Run 4'!G10)</f>
        <v/>
      </c>
      <c r="H266" s="35" t="str">
        <f>IF('Zero Shot Run 5'!G10="","",'Zero Shot Run 5'!G10)</f>
        <v/>
      </c>
      <c r="I266" s="36" t="str">
        <f>IF(AND(D266=E266,E266=F266,F266=G266,G266=H266),"Yes","No")</f>
        <v>Yes</v>
      </c>
    </row>
    <row r="267" spans="1:9" x14ac:dyDescent="0.25">
      <c r="A267" s="27" t="str">
        <f>'Zero Shot Run 1'!D11</f>
        <v>Leadership</v>
      </c>
      <c r="B267" s="28" t="str">
        <f>'Zero Shot Run 1'!E11</f>
        <v>LD1.1</v>
      </c>
      <c r="C267" s="29" t="str">
        <f>'Zero Shot Run 1'!F11</f>
        <v>Provide Effective Leadership and Commitment</v>
      </c>
      <c r="D267" s="30" t="str">
        <f>IF('Zero Shot Run 1'!G11="","",'Zero Shot Run 1'!G11)</f>
        <v/>
      </c>
      <c r="E267" s="30" t="str">
        <f>IF('Zero Shot Run 2'!G11="","",'Zero Shot Run 2'!G11)</f>
        <v/>
      </c>
      <c r="F267" s="30" t="str">
        <f>IF('Zero Shot Run 3'!G11="","",'Zero Shot Run 3'!G11)</f>
        <v/>
      </c>
      <c r="G267" s="30" t="str">
        <f>IF('Zero Shot Run 4'!G11="","",'Zero Shot Run 4'!G11)</f>
        <v/>
      </c>
      <c r="H267" s="30" t="str">
        <f>IF('Zero Shot Run 5'!G11="","",'Zero Shot Run 5'!G11)</f>
        <v/>
      </c>
      <c r="I267" s="31" t="str">
        <f>IF(AND(D267=E267,E267=F267,F267=G267,G267=H267),"Yes","No")</f>
        <v>Yes</v>
      </c>
    </row>
    <row r="268" spans="1:9" x14ac:dyDescent="0.25">
      <c r="A268" s="32" t="str">
        <f>'Zero Shot Run 1'!D12</f>
        <v>Leadership</v>
      </c>
      <c r="B268" s="33" t="str">
        <f>'Zero Shot Run 1'!E12</f>
        <v>LD1.2</v>
      </c>
      <c r="C268" s="34" t="str">
        <f>'Zero Shot Run 1'!F12</f>
        <v>Foster Collaboration and Teamwork</v>
      </c>
      <c r="D268" s="35" t="str">
        <f>IF('Zero Shot Run 1'!G12="","",'Zero Shot Run 1'!G12)</f>
        <v/>
      </c>
      <c r="E268" s="35" t="str">
        <f>IF('Zero Shot Run 2'!G12="","",'Zero Shot Run 2'!G12)</f>
        <v/>
      </c>
      <c r="F268" s="35" t="str">
        <f>IF('Zero Shot Run 3'!G12="","",'Zero Shot Run 3'!G12)</f>
        <v/>
      </c>
      <c r="G268" s="35" t="str">
        <f>IF('Zero Shot Run 4'!G12="","",'Zero Shot Run 4'!G12)</f>
        <v/>
      </c>
      <c r="H268" s="35" t="str">
        <f>IF('Zero Shot Run 5'!G12="","",'Zero Shot Run 5'!G12)</f>
        <v/>
      </c>
      <c r="I268" s="36" t="str">
        <f>IF(AND(D268=E268,E268=F268,F268=G268,G268=H268),"Yes","No")</f>
        <v>Yes</v>
      </c>
    </row>
    <row r="269" spans="1:9" x14ac:dyDescent="0.25">
      <c r="A269" s="27" t="str">
        <f>'Zero Shot Run 1'!D13</f>
        <v>Leadership</v>
      </c>
      <c r="B269" s="28" t="str">
        <f>'Zero Shot Run 1'!E13</f>
        <v>LD1.3</v>
      </c>
      <c r="C269" s="29" t="str">
        <f>'Zero Shot Run 1'!F13</f>
        <v>Provide for Stakeholder Involvement</v>
      </c>
      <c r="D269" s="30" t="str">
        <f>IF('Zero Shot Run 1'!G13="","",'Zero Shot Run 1'!G13)</f>
        <v/>
      </c>
      <c r="E269" s="30" t="str">
        <f>IF('Zero Shot Run 2'!G13="","",'Zero Shot Run 2'!G13)</f>
        <v/>
      </c>
      <c r="F269" s="30" t="str">
        <f>IF('Zero Shot Run 3'!G13="","",'Zero Shot Run 3'!G13)</f>
        <v/>
      </c>
      <c r="G269" s="30" t="str">
        <f>IF('Zero Shot Run 4'!G13="","",'Zero Shot Run 4'!G13)</f>
        <v/>
      </c>
      <c r="H269" s="30" t="str">
        <f>IF('Zero Shot Run 5'!G13="","",'Zero Shot Run 5'!G13)</f>
        <v/>
      </c>
      <c r="I269" s="31" t="str">
        <f>IF(AND(D269=E269,E269=F269,F269=G269,G269=H269),"Yes","No")</f>
        <v>Yes</v>
      </c>
    </row>
    <row r="270" spans="1:9" x14ac:dyDescent="0.25">
      <c r="A270" s="32" t="str">
        <f>'Zero Shot Run 1'!D14</f>
        <v>Leadership</v>
      </c>
      <c r="B270" s="33" t="str">
        <f>'Zero Shot Run 1'!E14</f>
        <v>LD1.4</v>
      </c>
      <c r="C270" s="34" t="str">
        <f>'Zero Shot Run 1'!F14</f>
        <v>Pursue Byproduct Synergies</v>
      </c>
      <c r="D270" s="35" t="str">
        <f>IF('Zero Shot Run 1'!G14="","",'Zero Shot Run 1'!G14)</f>
        <v/>
      </c>
      <c r="E270" s="35" t="str">
        <f>IF('Zero Shot Run 2'!G14="","",'Zero Shot Run 2'!G14)</f>
        <v/>
      </c>
      <c r="F270" s="35" t="str">
        <f>IF('Zero Shot Run 3'!G14="","",'Zero Shot Run 3'!G14)</f>
        <v/>
      </c>
      <c r="G270" s="35" t="str">
        <f>IF('Zero Shot Run 4'!G14="","",'Zero Shot Run 4'!G14)</f>
        <v/>
      </c>
      <c r="H270" s="35" t="str">
        <f>IF('Zero Shot Run 5'!G14="","",'Zero Shot Run 5'!G14)</f>
        <v/>
      </c>
      <c r="I270" s="36" t="str">
        <f>IF(AND(D270=E270,E270=F270,F270=G270,G270=H270),"Yes","No")</f>
        <v>Yes</v>
      </c>
    </row>
    <row r="271" spans="1:9" x14ac:dyDescent="0.25">
      <c r="A271" s="27" t="str">
        <f>'Zero Shot Run 1'!D15</f>
        <v>Leadership</v>
      </c>
      <c r="B271" s="28" t="str">
        <f>'Zero Shot Run 1'!E15</f>
        <v>LD2.1</v>
      </c>
      <c r="C271" s="29" t="str">
        <f>'Zero Shot Run 1'!F15</f>
        <v>Establish a Sustainability Management Plan</v>
      </c>
      <c r="D271" s="30" t="str">
        <f>IF('Zero Shot Run 1'!G15="","",'Zero Shot Run 1'!G15)</f>
        <v/>
      </c>
      <c r="E271" s="30" t="str">
        <f>IF('Zero Shot Run 2'!G15="","",'Zero Shot Run 2'!G15)</f>
        <v/>
      </c>
      <c r="F271" s="30" t="str">
        <f>IF('Zero Shot Run 3'!G15="","",'Zero Shot Run 3'!G15)</f>
        <v/>
      </c>
      <c r="G271" s="30" t="str">
        <f>IF('Zero Shot Run 4'!G15="","",'Zero Shot Run 4'!G15)</f>
        <v/>
      </c>
      <c r="H271" s="30" t="str">
        <f>IF('Zero Shot Run 5'!G15="","",'Zero Shot Run 5'!G15)</f>
        <v/>
      </c>
      <c r="I271" s="31" t="str">
        <f>IF(AND(D271=E271,E271=F271,F271=G271,G271=H271),"Yes","No")</f>
        <v>Yes</v>
      </c>
    </row>
    <row r="272" spans="1:9" x14ac:dyDescent="0.25">
      <c r="A272" s="32" t="str">
        <f>'Zero Shot Run 1'!D16</f>
        <v>Leadership</v>
      </c>
      <c r="B272" s="33" t="str">
        <f>'Zero Shot Run 1'!E16</f>
        <v>LD2.2</v>
      </c>
      <c r="C272" s="34" t="str">
        <f>'Zero Shot Run 1'!F16</f>
        <v>Plan for Sustainable Communities</v>
      </c>
      <c r="D272" s="35" t="str">
        <f>IF('Zero Shot Run 1'!G16="","",'Zero Shot Run 1'!G16)</f>
        <v/>
      </c>
      <c r="E272" s="35" t="str">
        <f>IF('Zero Shot Run 2'!G16="","",'Zero Shot Run 2'!G16)</f>
        <v/>
      </c>
      <c r="F272" s="35" t="str">
        <f>IF('Zero Shot Run 3'!G16="","",'Zero Shot Run 3'!G16)</f>
        <v/>
      </c>
      <c r="G272" s="35" t="str">
        <f>IF('Zero Shot Run 4'!G16="","",'Zero Shot Run 4'!G16)</f>
        <v/>
      </c>
      <c r="H272" s="35" t="str">
        <f>IF('Zero Shot Run 5'!G16="","",'Zero Shot Run 5'!G16)</f>
        <v/>
      </c>
      <c r="I272" s="36" t="str">
        <f>IF(AND(D272=E272,E272=F272,F272=G272,G272=H272),"Yes","No")</f>
        <v>Yes</v>
      </c>
    </row>
    <row r="273" spans="1:9" x14ac:dyDescent="0.25">
      <c r="A273" s="27" t="str">
        <f>'Zero Shot Run 1'!D17</f>
        <v>Leadership</v>
      </c>
      <c r="B273" s="28" t="str">
        <f>'Zero Shot Run 1'!E17</f>
        <v>LD2.3</v>
      </c>
      <c r="C273" s="29" t="str">
        <f>'Zero Shot Run 1'!F17</f>
        <v>Plan for Long-Term Monitoring and Maintenance</v>
      </c>
      <c r="D273" s="30" t="str">
        <f>IF('Zero Shot Run 1'!G17="","",'Zero Shot Run 1'!G17)</f>
        <v/>
      </c>
      <c r="E273" s="30" t="str">
        <f>IF('Zero Shot Run 2'!G17="","",'Zero Shot Run 2'!G17)</f>
        <v/>
      </c>
      <c r="F273" s="30" t="str">
        <f>IF('Zero Shot Run 3'!G17="","",'Zero Shot Run 3'!G17)</f>
        <v/>
      </c>
      <c r="G273" s="30" t="str">
        <f>IF('Zero Shot Run 4'!G17="","",'Zero Shot Run 4'!G17)</f>
        <v/>
      </c>
      <c r="H273" s="30" t="str">
        <f>IF('Zero Shot Run 5'!G17="","",'Zero Shot Run 5'!G17)</f>
        <v/>
      </c>
      <c r="I273" s="31" t="str">
        <f>IF(AND(D273=E273,E273=F273,F273=G273,G273=H273),"Yes","No")</f>
        <v>Yes</v>
      </c>
    </row>
    <row r="274" spans="1:9" x14ac:dyDescent="0.25">
      <c r="A274" s="32" t="str">
        <f>'Zero Shot Run 1'!D18</f>
        <v>Leadership</v>
      </c>
      <c r="B274" s="33" t="str">
        <f>'Zero Shot Run 1'!E18</f>
        <v>LD2.4</v>
      </c>
      <c r="C274" s="34" t="str">
        <f>'Zero Shot Run 1'!F18</f>
        <v>Plan for End-of-Life</v>
      </c>
      <c r="D274" s="35" t="str">
        <f>IF('Zero Shot Run 1'!G18="","",'Zero Shot Run 1'!G18)</f>
        <v/>
      </c>
      <c r="E274" s="35" t="str">
        <f>IF('Zero Shot Run 2'!G18="","",'Zero Shot Run 2'!G18)</f>
        <v/>
      </c>
      <c r="F274" s="35" t="str">
        <f>IF('Zero Shot Run 3'!G18="","",'Zero Shot Run 3'!G18)</f>
        <v/>
      </c>
      <c r="G274" s="35" t="str">
        <f>IF('Zero Shot Run 4'!G18="","",'Zero Shot Run 4'!G18)</f>
        <v/>
      </c>
      <c r="H274" s="35" t="str">
        <f>IF('Zero Shot Run 5'!G18="","",'Zero Shot Run 5'!G18)</f>
        <v/>
      </c>
      <c r="I274" s="36" t="str">
        <f>IF(AND(D274=E274,E274=F274,F274=G274,G274=H274),"Yes","No")</f>
        <v>Yes</v>
      </c>
    </row>
    <row r="275" spans="1:9" x14ac:dyDescent="0.25">
      <c r="A275" s="27" t="str">
        <f>'Zero Shot Run 1'!D19</f>
        <v>Leadership</v>
      </c>
      <c r="B275" s="28" t="str">
        <f>'Zero Shot Run 1'!E19</f>
        <v>LD3.1</v>
      </c>
      <c r="C275" s="29" t="str">
        <f>'Zero Shot Run 1'!F19</f>
        <v>Stimulate Economic Prosperity and Development</v>
      </c>
      <c r="D275" s="30" t="str">
        <f>IF('Zero Shot Run 1'!G19="","",'Zero Shot Run 1'!G19)</f>
        <v/>
      </c>
      <c r="E275" s="30" t="str">
        <f>IF('Zero Shot Run 2'!G19="","",'Zero Shot Run 2'!G19)</f>
        <v/>
      </c>
      <c r="F275" s="30" t="str">
        <f>IF('Zero Shot Run 3'!G19="","",'Zero Shot Run 3'!G19)</f>
        <v/>
      </c>
      <c r="G275" s="30" t="str">
        <f>IF('Zero Shot Run 4'!G19="","",'Zero Shot Run 4'!G19)</f>
        <v/>
      </c>
      <c r="H275" s="30" t="str">
        <f>IF('Zero Shot Run 5'!G19="","",'Zero Shot Run 5'!G19)</f>
        <v/>
      </c>
      <c r="I275" s="31" t="str">
        <f>IF(AND(D275=E275,E275=F275,F275=G275,G275=H275),"Yes","No")</f>
        <v>Yes</v>
      </c>
    </row>
    <row r="276" spans="1:9" x14ac:dyDescent="0.25">
      <c r="A276" s="32" t="str">
        <f>'Zero Shot Run 1'!D20</f>
        <v>Leadership</v>
      </c>
      <c r="B276" s="33" t="str">
        <f>'Zero Shot Run 1'!E20</f>
        <v>LD3.2</v>
      </c>
      <c r="C276" s="34" t="str">
        <f>'Zero Shot Run 1'!F20</f>
        <v>Develop Local Skills and Capabilities</v>
      </c>
      <c r="D276" s="35" t="str">
        <f>IF('Zero Shot Run 1'!G20="","",'Zero Shot Run 1'!G20)</f>
        <v/>
      </c>
      <c r="E276" s="35" t="str">
        <f>IF('Zero Shot Run 2'!G20="","",'Zero Shot Run 2'!G20)</f>
        <v/>
      </c>
      <c r="F276" s="35" t="str">
        <f>IF('Zero Shot Run 3'!G20="","",'Zero Shot Run 3'!G20)</f>
        <v/>
      </c>
      <c r="G276" s="35" t="str">
        <f>IF('Zero Shot Run 4'!G20="","",'Zero Shot Run 4'!G20)</f>
        <v/>
      </c>
      <c r="H276" s="35" t="str">
        <f>IF('Zero Shot Run 5'!G20="","",'Zero Shot Run 5'!G20)</f>
        <v/>
      </c>
      <c r="I276" s="36" t="str">
        <f>IF(AND(D276=E276,E276=F276,F276=G276,G276=H276),"Yes","No")</f>
        <v>Yes</v>
      </c>
    </row>
    <row r="277" spans="1:9" x14ac:dyDescent="0.25">
      <c r="A277" s="27" t="str">
        <f>'Zero Shot Run 1'!D21</f>
        <v>Leadership</v>
      </c>
      <c r="B277" s="28" t="str">
        <f>'Zero Shot Run 1'!E21</f>
        <v>LD3.3</v>
      </c>
      <c r="C277" s="29" t="str">
        <f>'Zero Shot Run 1'!F21</f>
        <v>Conduct a Life-Cycle Economic Evaluation</v>
      </c>
      <c r="D277" s="30" t="str">
        <f>IF('Zero Shot Run 1'!G21="","",'Zero Shot Run 1'!G21)</f>
        <v/>
      </c>
      <c r="E277" s="30" t="str">
        <f>IF('Zero Shot Run 2'!G21="","",'Zero Shot Run 2'!G21)</f>
        <v/>
      </c>
      <c r="F277" s="30" t="str">
        <f>IF('Zero Shot Run 3'!G21="","",'Zero Shot Run 3'!G21)</f>
        <v/>
      </c>
      <c r="G277" s="30" t="str">
        <f>IF('Zero Shot Run 4'!G21="","",'Zero Shot Run 4'!G21)</f>
        <v/>
      </c>
      <c r="H277" s="30" t="str">
        <f>IF('Zero Shot Run 5'!G21="","",'Zero Shot Run 5'!G21)</f>
        <v/>
      </c>
      <c r="I277" s="31" t="str">
        <f>IF(AND(D277=E277,E277=F277,F277=G277,G277=H277),"Yes","No")</f>
        <v>Yes</v>
      </c>
    </row>
    <row r="278" spans="1:9" x14ac:dyDescent="0.25">
      <c r="A278" s="32" t="str">
        <f>'Zero Shot Run 1'!D22</f>
        <v>Natural World</v>
      </c>
      <c r="B278" s="33">
        <f>'Zero Shot Run 1'!E22</f>
        <v>0</v>
      </c>
      <c r="C278" s="34">
        <f>'Zero Shot Run 1'!F22</f>
        <v>0</v>
      </c>
      <c r="D278" s="35" t="str">
        <f>IF('Zero Shot Run 1'!G22="","",'Zero Shot Run 1'!G22)</f>
        <v/>
      </c>
      <c r="E278" s="35" t="str">
        <f>IF('Zero Shot Run 2'!G22="","",'Zero Shot Run 2'!G22)</f>
        <v/>
      </c>
      <c r="F278" s="35" t="str">
        <f>IF('Zero Shot Run 3'!G22="","",'Zero Shot Run 3'!G22)</f>
        <v/>
      </c>
      <c r="G278" s="35" t="str">
        <f>IF('Zero Shot Run 4'!G22="","",'Zero Shot Run 4'!G22)</f>
        <v/>
      </c>
      <c r="H278" s="35" t="str">
        <f>IF('Zero Shot Run 5'!G22="","",'Zero Shot Run 5'!G22)</f>
        <v/>
      </c>
      <c r="I278" s="36" t="str">
        <f>IF(AND(D278=E278,E278=F278,F278=G278,G278=H278),"Yes","No")</f>
        <v>Yes</v>
      </c>
    </row>
    <row r="279" spans="1:9" x14ac:dyDescent="0.25">
      <c r="A279" s="27" t="str">
        <f>'Zero Shot Run 1'!D23</f>
        <v>Quality Of Life</v>
      </c>
      <c r="B279" s="28">
        <f>'Zero Shot Run 1'!E23</f>
        <v>0</v>
      </c>
      <c r="C279" s="29">
        <f>'Zero Shot Run 1'!F23</f>
        <v>0</v>
      </c>
      <c r="D279" s="30" t="str">
        <f>IF('Zero Shot Run 1'!G23="","",'Zero Shot Run 1'!G23)</f>
        <v/>
      </c>
      <c r="E279" s="30" t="str">
        <f>IF('Zero Shot Run 2'!G23="","",'Zero Shot Run 2'!G23)</f>
        <v/>
      </c>
      <c r="F279" s="30" t="str">
        <f>IF('Zero Shot Run 3'!G23="","",'Zero Shot Run 3'!G23)</f>
        <v/>
      </c>
      <c r="G279" s="30" t="str">
        <f>IF('Zero Shot Run 4'!G23="","",'Zero Shot Run 4'!G23)</f>
        <v/>
      </c>
      <c r="H279" s="30" t="str">
        <f>IF('Zero Shot Run 5'!G23="","",'Zero Shot Run 5'!G23)</f>
        <v/>
      </c>
      <c r="I279" s="31" t="str">
        <f>IF(AND(D279=E279,E279=F279,F279=G279,G279=H279),"Yes","No")</f>
        <v>Yes</v>
      </c>
    </row>
    <row r="280" spans="1:9" x14ac:dyDescent="0.25">
      <c r="A280" s="32" t="str">
        <f>'Zero Shot Run 1'!D24</f>
        <v>Resource Allocation</v>
      </c>
      <c r="B280" s="33" t="str">
        <f>'Zero Shot Run 1'!E24</f>
        <v>RA1.1</v>
      </c>
      <c r="C280" s="34" t="str">
        <f>'Zero Shot Run 1'!F24</f>
        <v>Support Sustainable Procurement Practices</v>
      </c>
      <c r="D280" s="35" t="str">
        <f>IF('Zero Shot Run 1'!G24="","",'Zero Shot Run 1'!G24)</f>
        <v/>
      </c>
      <c r="E280" s="35" t="str">
        <f>IF('Zero Shot Run 2'!G24="","",'Zero Shot Run 2'!G24)</f>
        <v/>
      </c>
      <c r="F280" s="35" t="str">
        <f>IF('Zero Shot Run 3'!G24="","",'Zero Shot Run 3'!G24)</f>
        <v/>
      </c>
      <c r="G280" s="35" t="str">
        <f>IF('Zero Shot Run 4'!G24="","",'Zero Shot Run 4'!G24)</f>
        <v/>
      </c>
      <c r="H280" s="35" t="str">
        <f>IF('Zero Shot Run 5'!G24="","",'Zero Shot Run 5'!G24)</f>
        <v/>
      </c>
      <c r="I280" s="36" t="str">
        <f>IF(AND(D280=E280,E280=F280,F280=G280,G280=H280),"Yes","No")</f>
        <v>Yes</v>
      </c>
    </row>
    <row r="281" spans="1:9" x14ac:dyDescent="0.25">
      <c r="A281" s="27" t="str">
        <f>'Zero Shot Run 1'!D25</f>
        <v>Resource Allocation</v>
      </c>
      <c r="B281" s="28" t="str">
        <f>'Zero Shot Run 1'!E25</f>
        <v>RA1.2</v>
      </c>
      <c r="C281" s="29" t="str">
        <f>'Zero Shot Run 1'!F25</f>
        <v>Use Recycled Materials</v>
      </c>
      <c r="D281" s="30" t="str">
        <f>IF('Zero Shot Run 1'!G25="","",'Zero Shot Run 1'!G25)</f>
        <v/>
      </c>
      <c r="E281" s="30" t="str">
        <f>IF('Zero Shot Run 2'!G25="","",'Zero Shot Run 2'!G25)</f>
        <v/>
      </c>
      <c r="F281" s="30" t="str">
        <f>IF('Zero Shot Run 3'!G25="","",'Zero Shot Run 3'!G25)</f>
        <v/>
      </c>
      <c r="G281" s="30" t="str">
        <f>IF('Zero Shot Run 4'!G25="","",'Zero Shot Run 4'!G25)</f>
        <v/>
      </c>
      <c r="H281" s="30" t="str">
        <f>IF('Zero Shot Run 5'!G25="","",'Zero Shot Run 5'!G25)</f>
        <v/>
      </c>
      <c r="I281" s="31" t="str">
        <f>IF(AND(D281=E281,E281=F281,F281=G281,G281=H281),"Yes","No")</f>
        <v>Yes</v>
      </c>
    </row>
    <row r="282" spans="1:9" x14ac:dyDescent="0.25">
      <c r="A282" s="32" t="str">
        <f>'Zero Shot Run 1'!D26</f>
        <v>Resource Allocation</v>
      </c>
      <c r="B282" s="33" t="str">
        <f>'Zero Shot Run 1'!E26</f>
        <v>RA1.3</v>
      </c>
      <c r="C282" s="34" t="str">
        <f>'Zero Shot Run 1'!F26</f>
        <v>Reduce Operational Waste</v>
      </c>
      <c r="D282" s="35" t="str">
        <f>IF('Zero Shot Run 1'!G26="","",'Zero Shot Run 1'!G26)</f>
        <v/>
      </c>
      <c r="E282" s="35" t="str">
        <f>IF('Zero Shot Run 2'!G26="","",'Zero Shot Run 2'!G26)</f>
        <v/>
      </c>
      <c r="F282" s="35" t="str">
        <f>IF('Zero Shot Run 3'!G26="","",'Zero Shot Run 3'!G26)</f>
        <v/>
      </c>
      <c r="G282" s="35" t="str">
        <f>IF('Zero Shot Run 4'!G26="","",'Zero Shot Run 4'!G26)</f>
        <v/>
      </c>
      <c r="H282" s="35" t="str">
        <f>IF('Zero Shot Run 5'!G26="","",'Zero Shot Run 5'!G26)</f>
        <v/>
      </c>
      <c r="I282" s="36" t="str">
        <f>IF(AND(D282=E282,E282=F282,F282=G282,G282=H282),"Yes","No")</f>
        <v>Yes</v>
      </c>
    </row>
    <row r="283" spans="1:9" x14ac:dyDescent="0.25">
      <c r="A283" s="27" t="str">
        <f>'Zero Shot Run 1'!D27</f>
        <v>Resource Allocation</v>
      </c>
      <c r="B283" s="28" t="str">
        <f>'Zero Shot Run 1'!E27</f>
        <v>RA1.4</v>
      </c>
      <c r="C283" s="29" t="str">
        <f>'Zero Shot Run 1'!F27</f>
        <v>Reduce Construction Waste</v>
      </c>
      <c r="D283" s="30" t="str">
        <f>IF('Zero Shot Run 1'!G27="","",'Zero Shot Run 1'!G27)</f>
        <v/>
      </c>
      <c r="E283" s="30" t="str">
        <f>IF('Zero Shot Run 2'!G27="","",'Zero Shot Run 2'!G27)</f>
        <v/>
      </c>
      <c r="F283" s="30" t="str">
        <f>IF('Zero Shot Run 3'!G27="","",'Zero Shot Run 3'!G27)</f>
        <v/>
      </c>
      <c r="G283" s="30" t="str">
        <f>IF('Zero Shot Run 4'!G27="","",'Zero Shot Run 4'!G27)</f>
        <v/>
      </c>
      <c r="H283" s="30" t="str">
        <f>IF('Zero Shot Run 5'!G27="","",'Zero Shot Run 5'!G27)</f>
        <v/>
      </c>
      <c r="I283" s="31" t="str">
        <f>IF(AND(D283=E283,E283=F283,F283=G283,G283=H283),"Yes","No")</f>
        <v>Yes</v>
      </c>
    </row>
    <row r="284" spans="1:9" x14ac:dyDescent="0.25">
      <c r="A284" s="32" t="str">
        <f>'Zero Shot Run 1'!D28</f>
        <v>Resource Allocation</v>
      </c>
      <c r="B284" s="33" t="str">
        <f>'Zero Shot Run 1'!E28</f>
        <v>RA1.5</v>
      </c>
      <c r="C284" s="34" t="str">
        <f>'Zero Shot Run 1'!F28</f>
        <v>Balance Earthwork On Site</v>
      </c>
      <c r="D284" s="35" t="str">
        <f>IF('Zero Shot Run 1'!G28="","",'Zero Shot Run 1'!G28)</f>
        <v/>
      </c>
      <c r="E284" s="35" t="str">
        <f>IF('Zero Shot Run 2'!G28="","",'Zero Shot Run 2'!G28)</f>
        <v/>
      </c>
      <c r="F284" s="35" t="str">
        <f>IF('Zero Shot Run 3'!G28="","",'Zero Shot Run 3'!G28)</f>
        <v/>
      </c>
      <c r="G284" s="35" t="str">
        <f>IF('Zero Shot Run 4'!G28="","",'Zero Shot Run 4'!G28)</f>
        <v/>
      </c>
      <c r="H284" s="35" t="str">
        <f>IF('Zero Shot Run 5'!G28="","",'Zero Shot Run 5'!G28)</f>
        <v/>
      </c>
      <c r="I284" s="36" t="str">
        <f>IF(AND(D284=E284,E284=F284,F284=G284,G284=H284),"Yes","No")</f>
        <v>Yes</v>
      </c>
    </row>
    <row r="285" spans="1:9" x14ac:dyDescent="0.25">
      <c r="A285" s="27" t="str">
        <f>'Zero Shot Run 1'!D29</f>
        <v>Resource Allocation</v>
      </c>
      <c r="B285" s="28" t="str">
        <f>'Zero Shot Run 1'!E29</f>
        <v>RA2.1</v>
      </c>
      <c r="C285" s="29" t="str">
        <f>'Zero Shot Run 1'!F29</f>
        <v>Reduce Operational Energy Consumption</v>
      </c>
      <c r="D285" s="30" t="str">
        <f>IF('Zero Shot Run 1'!G29="","",'Zero Shot Run 1'!G29)</f>
        <v/>
      </c>
      <c r="E285" s="30" t="str">
        <f>IF('Zero Shot Run 2'!G29="","",'Zero Shot Run 2'!G29)</f>
        <v/>
      </c>
      <c r="F285" s="30" t="str">
        <f>IF('Zero Shot Run 3'!G29="","",'Zero Shot Run 3'!G29)</f>
        <v/>
      </c>
      <c r="G285" s="30" t="str">
        <f>IF('Zero Shot Run 4'!G29="","",'Zero Shot Run 4'!G29)</f>
        <v/>
      </c>
      <c r="H285" s="30" t="str">
        <f>IF('Zero Shot Run 5'!G29="","",'Zero Shot Run 5'!G29)</f>
        <v/>
      </c>
      <c r="I285" s="31" t="str">
        <f>IF(AND(D285=E285,E285=F285,F285=G285,G285=H285),"Yes","No")</f>
        <v>Yes</v>
      </c>
    </row>
    <row r="286" spans="1:9" x14ac:dyDescent="0.25">
      <c r="A286" s="32" t="str">
        <f>'Zero Shot Run 1'!D30</f>
        <v>Resource Allocation</v>
      </c>
      <c r="B286" s="33" t="str">
        <f>'Zero Shot Run 1'!E30</f>
        <v>RA2.2</v>
      </c>
      <c r="C286" s="34" t="str">
        <f>'Zero Shot Run 1'!F30</f>
        <v>Reduce Construction Energy Consumption</v>
      </c>
      <c r="D286" s="35" t="str">
        <f>IF('Zero Shot Run 1'!G30="","",'Zero Shot Run 1'!G30)</f>
        <v/>
      </c>
      <c r="E286" s="35" t="str">
        <f>IF('Zero Shot Run 2'!G30="","",'Zero Shot Run 2'!G30)</f>
        <v/>
      </c>
      <c r="F286" s="35" t="str">
        <f>IF('Zero Shot Run 3'!G30="","",'Zero Shot Run 3'!G30)</f>
        <v/>
      </c>
      <c r="G286" s="35" t="str">
        <f>IF('Zero Shot Run 4'!G30="","",'Zero Shot Run 4'!G30)</f>
        <v/>
      </c>
      <c r="H286" s="35" t="str">
        <f>IF('Zero Shot Run 5'!G30="","",'Zero Shot Run 5'!G30)</f>
        <v/>
      </c>
      <c r="I286" s="36" t="str">
        <f>IF(AND(D286=E286,E286=F286,F286=G286,G286=H286),"Yes","No")</f>
        <v>Yes</v>
      </c>
    </row>
    <row r="287" spans="1:9" x14ac:dyDescent="0.25">
      <c r="A287" s="27" t="str">
        <f>'Zero Shot Run 1'!D31</f>
        <v>Resource Allocation</v>
      </c>
      <c r="B287" s="28" t="str">
        <f>'Zero Shot Run 1'!E31</f>
        <v>RA2.3</v>
      </c>
      <c r="C287" s="29" t="str">
        <f>'Zero Shot Run 1'!F31</f>
        <v>Use Renewable Energy</v>
      </c>
      <c r="D287" s="30" t="str">
        <f>IF('Zero Shot Run 1'!G31="","",'Zero Shot Run 1'!G31)</f>
        <v/>
      </c>
      <c r="E287" s="30" t="str">
        <f>IF('Zero Shot Run 2'!G31="","",'Zero Shot Run 2'!G31)</f>
        <v/>
      </c>
      <c r="F287" s="30" t="str">
        <f>IF('Zero Shot Run 3'!G31="","",'Zero Shot Run 3'!G31)</f>
        <v/>
      </c>
      <c r="G287" s="30" t="str">
        <f>IF('Zero Shot Run 4'!G31="","",'Zero Shot Run 4'!G31)</f>
        <v/>
      </c>
      <c r="H287" s="30" t="str">
        <f>IF('Zero Shot Run 5'!G31="","",'Zero Shot Run 5'!G31)</f>
        <v/>
      </c>
      <c r="I287" s="31" t="str">
        <f>IF(AND(D287=E287,E287=F287,F287=G287,G287=H287),"Yes","No")</f>
        <v>Yes</v>
      </c>
    </row>
    <row r="288" spans="1:9" x14ac:dyDescent="0.25">
      <c r="A288" s="32" t="str">
        <f>'Zero Shot Run 1'!D32</f>
        <v>Resource Allocation</v>
      </c>
      <c r="B288" s="33" t="str">
        <f>'Zero Shot Run 1'!E32</f>
        <v>RA2.4</v>
      </c>
      <c r="C288" s="34" t="str">
        <f>'Zero Shot Run 1'!F32</f>
        <v>Commission and Monitor Energy Systems</v>
      </c>
      <c r="D288" s="35" t="str">
        <f>IF('Zero Shot Run 1'!G32="","",'Zero Shot Run 1'!G32)</f>
        <v/>
      </c>
      <c r="E288" s="35" t="str">
        <f>IF('Zero Shot Run 2'!G32="","",'Zero Shot Run 2'!G32)</f>
        <v/>
      </c>
      <c r="F288" s="35" t="str">
        <f>IF('Zero Shot Run 3'!G32="","",'Zero Shot Run 3'!G32)</f>
        <v/>
      </c>
      <c r="G288" s="35" t="str">
        <f>IF('Zero Shot Run 4'!G32="","",'Zero Shot Run 4'!G32)</f>
        <v/>
      </c>
      <c r="H288" s="35" t="str">
        <f>IF('Zero Shot Run 5'!G32="","",'Zero Shot Run 5'!G32)</f>
        <v/>
      </c>
      <c r="I288" s="36" t="str">
        <f>IF(AND(D288=E288,E288=F288,F288=G288,G288=H288),"Yes","No")</f>
        <v>Yes</v>
      </c>
    </row>
    <row r="289" spans="1:9" x14ac:dyDescent="0.25">
      <c r="A289" s="27" t="str">
        <f>'Zero Shot Run 1'!D33</f>
        <v>Resource Allocation</v>
      </c>
      <c r="B289" s="28" t="str">
        <f>'Zero Shot Run 1'!E33</f>
        <v>RA3.1</v>
      </c>
      <c r="C289" s="29" t="str">
        <f>'Zero Shot Run 1'!F33</f>
        <v>Preserve Water Resources</v>
      </c>
      <c r="D289" s="30" t="str">
        <f>IF('Zero Shot Run 1'!G33="","",'Zero Shot Run 1'!G33)</f>
        <v/>
      </c>
      <c r="E289" s="30" t="str">
        <f>IF('Zero Shot Run 2'!G33="","",'Zero Shot Run 2'!G33)</f>
        <v/>
      </c>
      <c r="F289" s="30" t="str">
        <f>IF('Zero Shot Run 3'!G33="","",'Zero Shot Run 3'!G33)</f>
        <v/>
      </c>
      <c r="G289" s="30" t="str">
        <f>IF('Zero Shot Run 4'!G33="","",'Zero Shot Run 4'!G33)</f>
        <v/>
      </c>
      <c r="H289" s="30" t="str">
        <f>IF('Zero Shot Run 5'!G33="","",'Zero Shot Run 5'!G33)</f>
        <v/>
      </c>
      <c r="I289" s="31" t="str">
        <f>IF(AND(D289=E289,E289=F289,F289=G289,G289=H289),"Yes","No")</f>
        <v>Yes</v>
      </c>
    </row>
    <row r="290" spans="1:9" x14ac:dyDescent="0.25">
      <c r="A290" s="32" t="str">
        <f>'Zero Shot Run 1'!D34</f>
        <v>Resource Allocation</v>
      </c>
      <c r="B290" s="33" t="str">
        <f>'Zero Shot Run 1'!E34</f>
        <v>RA3.2</v>
      </c>
      <c r="C290" s="34" t="str">
        <f>'Zero Shot Run 1'!F34</f>
        <v>Reduce Operational Water Consumption</v>
      </c>
      <c r="D290" s="35" t="str">
        <f>IF('Zero Shot Run 1'!G34="","",'Zero Shot Run 1'!G34)</f>
        <v/>
      </c>
      <c r="E290" s="35" t="str">
        <f>IF('Zero Shot Run 2'!G34="","",'Zero Shot Run 2'!G34)</f>
        <v/>
      </c>
      <c r="F290" s="35" t="str">
        <f>IF('Zero Shot Run 3'!G34="","",'Zero Shot Run 3'!G34)</f>
        <v/>
      </c>
      <c r="G290" s="35" t="str">
        <f>IF('Zero Shot Run 4'!G34="","",'Zero Shot Run 4'!G34)</f>
        <v/>
      </c>
      <c r="H290" s="35" t="str">
        <f>IF('Zero Shot Run 5'!G34="","",'Zero Shot Run 5'!G34)</f>
        <v/>
      </c>
      <c r="I290" s="36" t="str">
        <f>IF(AND(D290=E290,E290=F290,F290=G290,G290=H290),"Yes","No")</f>
        <v>Yes</v>
      </c>
    </row>
    <row r="291" spans="1:9" x14ac:dyDescent="0.25">
      <c r="A291" s="27" t="str">
        <f>'Zero Shot Run 1'!D35</f>
        <v>Resource Allocation</v>
      </c>
      <c r="B291" s="28" t="str">
        <f>'Zero Shot Run 1'!E35</f>
        <v>RA3.3</v>
      </c>
      <c r="C291" s="29" t="str">
        <f>'Zero Shot Run 1'!F35</f>
        <v>Reduce Construction Water Consumption</v>
      </c>
      <c r="D291" s="30" t="str">
        <f>IF('Zero Shot Run 1'!G35="","",'Zero Shot Run 1'!G35)</f>
        <v/>
      </c>
      <c r="E291" s="30" t="str">
        <f>IF('Zero Shot Run 2'!G35="","",'Zero Shot Run 2'!G35)</f>
        <v/>
      </c>
      <c r="F291" s="30" t="str">
        <f>IF('Zero Shot Run 3'!G35="","",'Zero Shot Run 3'!G35)</f>
        <v/>
      </c>
      <c r="G291" s="30" t="str">
        <f>IF('Zero Shot Run 4'!G35="","",'Zero Shot Run 4'!G35)</f>
        <v/>
      </c>
      <c r="H291" s="30" t="str">
        <f>IF('Zero Shot Run 5'!G35="","",'Zero Shot Run 5'!G35)</f>
        <v/>
      </c>
      <c r="I291" s="31" t="str">
        <f>IF(AND(D291=E291,E291=F291,F291=G291,G291=H291),"Yes","No")</f>
        <v>Yes</v>
      </c>
    </row>
    <row r="292" spans="1:9" ht="15.75" thickBot="1" x14ac:dyDescent="0.3">
      <c r="A292" s="37" t="str">
        <f>'Zero Shot Run 1'!D36</f>
        <v>Resource Allocation</v>
      </c>
      <c r="B292" s="38" t="str">
        <f>'Zero Shot Run 1'!E36</f>
        <v>RA3.4</v>
      </c>
      <c r="C292" s="39" t="str">
        <f>'Zero Shot Run 1'!F36</f>
        <v>Monitor Water Systems</v>
      </c>
      <c r="D292" s="40" t="str">
        <f>IF('Zero Shot Run 1'!G36="","",'Zero Shot Run 1'!G36)</f>
        <v/>
      </c>
      <c r="E292" s="40" t="str">
        <f>IF('Zero Shot Run 2'!G36="","",'Zero Shot Run 2'!G36)</f>
        <v/>
      </c>
      <c r="F292" s="40" t="str">
        <f>IF('Zero Shot Run 3'!G36="","",'Zero Shot Run 3'!G36)</f>
        <v/>
      </c>
      <c r="G292" s="40" t="str">
        <f>IF('Zero Shot Run 4'!G36="","",'Zero Shot Run 4'!G36)</f>
        <v/>
      </c>
      <c r="H292" s="40" t="str">
        <f>IF('Zero Shot Run 5'!G36="","",'Zero Shot Run 5'!G36)</f>
        <v/>
      </c>
      <c r="I292" s="41" t="str">
        <f>IF(AND(D292=E292,E292=F292,F292=G292,G292=H292),"Yes","No")</f>
        <v>Yes</v>
      </c>
    </row>
    <row r="294" spans="1:9" x14ac:dyDescent="0.25">
      <c r="A294" s="20" t="s">
        <v>8</v>
      </c>
      <c r="B294" s="20"/>
      <c r="C294" s="20"/>
      <c r="D294" s="20"/>
      <c r="E294" s="20"/>
      <c r="F294" s="20"/>
      <c r="G294" s="20"/>
      <c r="H294" s="20"/>
      <c r="I294" s="20"/>
    </row>
    <row r="295" spans="1:9" ht="15.75" thickBot="1" x14ac:dyDescent="0.3">
      <c r="A295" s="21" t="s">
        <v>3</v>
      </c>
      <c r="B295" s="21" t="s">
        <v>4</v>
      </c>
      <c r="C295" s="21" t="s">
        <v>5</v>
      </c>
      <c r="D295" s="21" t="s">
        <v>1068</v>
      </c>
      <c r="E295" s="21" t="s">
        <v>1069</v>
      </c>
      <c r="F295" s="21" t="s">
        <v>1070</v>
      </c>
      <c r="G295" s="21" t="s">
        <v>1071</v>
      </c>
      <c r="H295" s="21" t="s">
        <v>1072</v>
      </c>
      <c r="I295" s="21" t="s">
        <v>1073</v>
      </c>
    </row>
    <row r="296" spans="1:9" x14ac:dyDescent="0.25">
      <c r="A296" s="22" t="str">
        <f>'Zero Shot Run 1'!D2</f>
        <v>Climate And Resilience</v>
      </c>
      <c r="B296" s="23" t="str">
        <f>'Zero Shot Run 1'!E2</f>
        <v>CR1.1</v>
      </c>
      <c r="C296" s="24" t="str">
        <f>'Zero Shot Run 1'!F2</f>
        <v>Reduce Net Embodied Carbon</v>
      </c>
      <c r="D296" s="23" t="str">
        <f>IF('Zero Shot Run 1'!I2="","",'Zero Shot Run 1'!I2)</f>
        <v>No Level</v>
      </c>
      <c r="E296" s="23" t="str">
        <f>IF('Zero Shot Run 2'!I2="","",'Zero Shot Run 2'!I2)</f>
        <v>No Level</v>
      </c>
      <c r="F296" s="23" t="str">
        <f>IF('Zero Shot Run 3'!I2="","",'Zero Shot Run 3'!I2)</f>
        <v>No Level</v>
      </c>
      <c r="G296" s="23" t="str">
        <f>IF('Zero Shot Run 4'!I2="","",'Zero Shot Run 4'!I2)</f>
        <v>No Level</v>
      </c>
      <c r="H296" s="23" t="str">
        <f>IF('Zero Shot Run 5'!I2="","",'Zero Shot Run 5'!I2)</f>
        <v>No Level</v>
      </c>
      <c r="I296" s="26" t="str">
        <f>IF(AND(D296=E296,E296=F296,F296=G296,G296=H296),"Yes","No")</f>
        <v>Yes</v>
      </c>
    </row>
    <row r="297" spans="1:9" x14ac:dyDescent="0.25">
      <c r="A297" s="27" t="str">
        <f>'Zero Shot Run 1'!D3</f>
        <v>Climate And Resilience</v>
      </c>
      <c r="B297" s="28" t="str">
        <f>'Zero Shot Run 1'!E3</f>
        <v>CR1.2</v>
      </c>
      <c r="C297" s="29" t="str">
        <f>'Zero Shot Run 1'!F3</f>
        <v>Reduce Greenhouse Gas Emissions</v>
      </c>
      <c r="D297" s="28" t="str">
        <f>IF('Zero Shot Run 1'!I3="","",'Zero Shot Run 1'!I3)</f>
        <v>No Level</v>
      </c>
      <c r="E297" s="28" t="str">
        <f>IF('Zero Shot Run 2'!I3="","",'Zero Shot Run 2'!I3)</f>
        <v>No Level</v>
      </c>
      <c r="F297" s="28" t="str">
        <f>IF('Zero Shot Run 3'!I3="","",'Zero Shot Run 3'!I3)</f>
        <v>No Level</v>
      </c>
      <c r="G297" s="28" t="str">
        <f>IF('Zero Shot Run 4'!I3="","",'Zero Shot Run 4'!I3)</f>
        <v>No Level</v>
      </c>
      <c r="H297" s="28" t="str">
        <f>IF('Zero Shot Run 5'!I3="","",'Zero Shot Run 5'!I3)</f>
        <v>No Level</v>
      </c>
      <c r="I297" s="31" t="str">
        <f>IF(AND(D297=E297,E297=F297,F297=G297,G297=H297),"Yes","No")</f>
        <v>Yes</v>
      </c>
    </row>
    <row r="298" spans="1:9" x14ac:dyDescent="0.25">
      <c r="A298" s="32" t="str">
        <f>'Zero Shot Run 1'!D4</f>
        <v>Climate And Resilience</v>
      </c>
      <c r="B298" s="33" t="str">
        <f>'Zero Shot Run 1'!E4</f>
        <v>CR1.3</v>
      </c>
      <c r="C298" s="34" t="str">
        <f>'Zero Shot Run 1'!F4</f>
        <v>Reduce Air Pollutant Emissions</v>
      </c>
      <c r="D298" s="33" t="str">
        <f>IF('Zero Shot Run 1'!I4="","",'Zero Shot Run 1'!I4)</f>
        <v>No Level</v>
      </c>
      <c r="E298" s="33" t="str">
        <f>IF('Zero Shot Run 2'!I4="","",'Zero Shot Run 2'!I4)</f>
        <v>No Level</v>
      </c>
      <c r="F298" s="33" t="str">
        <f>IF('Zero Shot Run 3'!I4="","",'Zero Shot Run 3'!I4)</f>
        <v>No Level</v>
      </c>
      <c r="G298" s="33" t="str">
        <f>IF('Zero Shot Run 4'!I4="","",'Zero Shot Run 4'!I4)</f>
        <v>No Level</v>
      </c>
      <c r="H298" s="33" t="str">
        <f>IF('Zero Shot Run 5'!I4="","",'Zero Shot Run 5'!I4)</f>
        <v>No Level</v>
      </c>
      <c r="I298" s="36" t="str">
        <f>IF(AND(D298=E298,E298=F298,F298=G298,G298=H298),"Yes","No")</f>
        <v>Yes</v>
      </c>
    </row>
    <row r="299" spans="1:9" x14ac:dyDescent="0.25">
      <c r="A299" s="27" t="str">
        <f>'Zero Shot Run 1'!D5</f>
        <v>Climate And Resilience</v>
      </c>
      <c r="B299" s="28" t="str">
        <f>'Zero Shot Run 1'!E5</f>
        <v>CR2.1</v>
      </c>
      <c r="C299" s="29" t="str">
        <f>'Zero Shot Run 1'!F5</f>
        <v>Avoid Unsuitable Development</v>
      </c>
      <c r="D299" s="28" t="str">
        <f>IF('Zero Shot Run 1'!I5="","",'Zero Shot Run 1'!I5)</f>
        <v>No Level</v>
      </c>
      <c r="E299" s="28" t="str">
        <f>IF('Zero Shot Run 2'!I5="","",'Zero Shot Run 2'!I5)</f>
        <v>No Level</v>
      </c>
      <c r="F299" s="28" t="str">
        <f>IF('Zero Shot Run 3'!I5="","",'Zero Shot Run 3'!I5)</f>
        <v>No Level</v>
      </c>
      <c r="G299" s="28" t="str">
        <f>IF('Zero Shot Run 4'!I5="","",'Zero Shot Run 4'!I5)</f>
        <v>No Level</v>
      </c>
      <c r="H299" s="28" t="str">
        <f>IF('Zero Shot Run 5'!I5="","",'Zero Shot Run 5'!I5)</f>
        <v>No Level</v>
      </c>
      <c r="I299" s="31" t="str">
        <f>IF(AND(D299=E299,E299=F299,F299=G299,G299=H299),"Yes","No")</f>
        <v>Yes</v>
      </c>
    </row>
    <row r="300" spans="1:9" x14ac:dyDescent="0.25">
      <c r="A300" s="32" t="str">
        <f>'Zero Shot Run 1'!D6</f>
        <v>Climate And Resilience</v>
      </c>
      <c r="B300" s="33" t="str">
        <f>'Zero Shot Run 1'!E6</f>
        <v>CR2.2</v>
      </c>
      <c r="C300" s="34" t="str">
        <f>'Zero Shot Run 1'!F6</f>
        <v>Assess Climate Change Vulnerability</v>
      </c>
      <c r="D300" s="33" t="str">
        <f>IF('Zero Shot Run 1'!I6="","",'Zero Shot Run 1'!I6)</f>
        <v>No Level</v>
      </c>
      <c r="E300" s="33" t="str">
        <f>IF('Zero Shot Run 2'!I6="","",'Zero Shot Run 2'!I6)</f>
        <v>No Level</v>
      </c>
      <c r="F300" s="33" t="str">
        <f>IF('Zero Shot Run 3'!I6="","",'Zero Shot Run 3'!I6)</f>
        <v>No Level</v>
      </c>
      <c r="G300" s="33" t="str">
        <f>IF('Zero Shot Run 4'!I6="","",'Zero Shot Run 4'!I6)</f>
        <v>No Level</v>
      </c>
      <c r="H300" s="33" t="str">
        <f>IF('Zero Shot Run 5'!I6="","",'Zero Shot Run 5'!I6)</f>
        <v>No Level</v>
      </c>
      <c r="I300" s="36" t="str">
        <f>IF(AND(D300=E300,E300=F300,F300=G300,G300=H300),"Yes","No")</f>
        <v>Yes</v>
      </c>
    </row>
    <row r="301" spans="1:9" x14ac:dyDescent="0.25">
      <c r="A301" s="27" t="str">
        <f>'Zero Shot Run 1'!D7</f>
        <v>Climate And Resilience</v>
      </c>
      <c r="B301" s="28" t="str">
        <f>'Zero Shot Run 1'!E7</f>
        <v>CR2.3</v>
      </c>
      <c r="C301" s="29" t="str">
        <f>'Zero Shot Run 1'!F7</f>
        <v>Evaluate Risk and Resilience</v>
      </c>
      <c r="D301" s="28" t="str">
        <f>IF('Zero Shot Run 1'!I7="","",'Zero Shot Run 1'!I7)</f>
        <v>No Level</v>
      </c>
      <c r="E301" s="28" t="str">
        <f>IF('Zero Shot Run 2'!I7="","",'Zero Shot Run 2'!I7)</f>
        <v>No Level</v>
      </c>
      <c r="F301" s="28" t="str">
        <f>IF('Zero Shot Run 3'!I7="","",'Zero Shot Run 3'!I7)</f>
        <v>No Level</v>
      </c>
      <c r="G301" s="28" t="str">
        <f>IF('Zero Shot Run 4'!I7="","",'Zero Shot Run 4'!I7)</f>
        <v>No Level</v>
      </c>
      <c r="H301" s="28" t="str">
        <f>IF('Zero Shot Run 5'!I7="","",'Zero Shot Run 5'!I7)</f>
        <v>No Level</v>
      </c>
      <c r="I301" s="31" t="str">
        <f>IF(AND(D301=E301,E301=F301,F301=G301,G301=H301),"Yes","No")</f>
        <v>Yes</v>
      </c>
    </row>
    <row r="302" spans="1:9" x14ac:dyDescent="0.25">
      <c r="A302" s="32" t="str">
        <f>'Zero Shot Run 1'!D8</f>
        <v>Climate And Resilience</v>
      </c>
      <c r="B302" s="33" t="str">
        <f>'Zero Shot Run 1'!E8</f>
        <v>CR2.4</v>
      </c>
      <c r="C302" s="34" t="str">
        <f>'Zero Shot Run 1'!F8</f>
        <v>Establish Resilience Goals and Strategies</v>
      </c>
      <c r="D302" s="33" t="str">
        <f>IF('Zero Shot Run 1'!I8="","",'Zero Shot Run 1'!I8)</f>
        <v>No Level</v>
      </c>
      <c r="E302" s="33" t="str">
        <f>IF('Zero Shot Run 2'!I8="","",'Zero Shot Run 2'!I8)</f>
        <v>No Level</v>
      </c>
      <c r="F302" s="33" t="str">
        <f>IF('Zero Shot Run 3'!I8="","",'Zero Shot Run 3'!I8)</f>
        <v>No Level</v>
      </c>
      <c r="G302" s="33" t="str">
        <f>IF('Zero Shot Run 4'!I8="","",'Zero Shot Run 4'!I8)</f>
        <v>No Level</v>
      </c>
      <c r="H302" s="33" t="str">
        <f>IF('Zero Shot Run 5'!I8="","",'Zero Shot Run 5'!I8)</f>
        <v>No Level</v>
      </c>
      <c r="I302" s="36" t="str">
        <f>IF(AND(D302=E302,E302=F302,F302=G302,G302=H302),"Yes","No")</f>
        <v>Yes</v>
      </c>
    </row>
    <row r="303" spans="1:9" x14ac:dyDescent="0.25">
      <c r="A303" s="27" t="str">
        <f>'Zero Shot Run 1'!D9</f>
        <v>Climate And Resilience</v>
      </c>
      <c r="B303" s="28" t="str">
        <f>'Zero Shot Run 1'!E9</f>
        <v>CR2.5</v>
      </c>
      <c r="C303" s="29" t="str">
        <f>'Zero Shot Run 1'!F9</f>
        <v>Maximize Resilience</v>
      </c>
      <c r="D303" s="28" t="str">
        <f>IF('Zero Shot Run 1'!I9="","",'Zero Shot Run 1'!I9)</f>
        <v>No Level</v>
      </c>
      <c r="E303" s="28" t="str">
        <f>IF('Zero Shot Run 2'!I9="","",'Zero Shot Run 2'!I9)</f>
        <v>No Level</v>
      </c>
      <c r="F303" s="28" t="str">
        <f>IF('Zero Shot Run 3'!I9="","",'Zero Shot Run 3'!I9)</f>
        <v>No Level</v>
      </c>
      <c r="G303" s="28" t="str">
        <f>IF('Zero Shot Run 4'!I9="","",'Zero Shot Run 4'!I9)</f>
        <v>No Level</v>
      </c>
      <c r="H303" s="28" t="str">
        <f>IF('Zero Shot Run 5'!I9="","",'Zero Shot Run 5'!I9)</f>
        <v>No Level</v>
      </c>
      <c r="I303" s="31" t="str">
        <f>IF(AND(D303=E303,E303=F303,F303=G303,G303=H303),"Yes","No")</f>
        <v>Yes</v>
      </c>
    </row>
    <row r="304" spans="1:9" x14ac:dyDescent="0.25">
      <c r="A304" s="32" t="str">
        <f>'Zero Shot Run 1'!D10</f>
        <v>Climate And Resilience</v>
      </c>
      <c r="B304" s="33" t="str">
        <f>'Zero Shot Run 1'!E10</f>
        <v>CR2.6</v>
      </c>
      <c r="C304" s="34" t="str">
        <f>'Zero Shot Run 1'!F10</f>
        <v>Improve Infrastructure Integration</v>
      </c>
      <c r="D304" s="33" t="str">
        <f>IF('Zero Shot Run 1'!I10="","",'Zero Shot Run 1'!I10)</f>
        <v>No Level</v>
      </c>
      <c r="E304" s="33" t="str">
        <f>IF('Zero Shot Run 2'!I10="","",'Zero Shot Run 2'!I10)</f>
        <v>No Level</v>
      </c>
      <c r="F304" s="33" t="str">
        <f>IF('Zero Shot Run 3'!I10="","",'Zero Shot Run 3'!I10)</f>
        <v>No Level</v>
      </c>
      <c r="G304" s="33" t="str">
        <f>IF('Zero Shot Run 4'!I10="","",'Zero Shot Run 4'!I10)</f>
        <v>No Level</v>
      </c>
      <c r="H304" s="33" t="str">
        <f>IF('Zero Shot Run 5'!I10="","",'Zero Shot Run 5'!I10)</f>
        <v>No Level</v>
      </c>
      <c r="I304" s="36" t="str">
        <f>IF(AND(D304=E304,E304=F304,F304=G304,G304=H304),"Yes","No")</f>
        <v>Yes</v>
      </c>
    </row>
    <row r="305" spans="1:9" x14ac:dyDescent="0.25">
      <c r="A305" s="27" t="str">
        <f>'Zero Shot Run 1'!D11</f>
        <v>Leadership</v>
      </c>
      <c r="B305" s="28" t="str">
        <f>'Zero Shot Run 1'!E11</f>
        <v>LD1.1</v>
      </c>
      <c r="C305" s="29" t="str">
        <f>'Zero Shot Run 1'!F11</f>
        <v>Provide Effective Leadership and Commitment</v>
      </c>
      <c r="D305" s="28" t="str">
        <f>IF('Zero Shot Run 1'!I11="","",'Zero Shot Run 1'!I11)</f>
        <v>Improved</v>
      </c>
      <c r="E305" s="28" t="str">
        <f>IF('Zero Shot Run 2'!I11="","",'Zero Shot Run 2'!I11)</f>
        <v>Improved</v>
      </c>
      <c r="F305" s="28" t="str">
        <f>IF('Zero Shot Run 3'!I11="","",'Zero Shot Run 3'!I11)</f>
        <v/>
      </c>
      <c r="G305" s="28" t="str">
        <f>IF('Zero Shot Run 4'!I11="","",'Zero Shot Run 4'!I11)</f>
        <v>Improved</v>
      </c>
      <c r="H305" s="28" t="str">
        <f>IF('Zero Shot Run 5'!I11="","",'Zero Shot Run 5'!I11)</f>
        <v>Improved</v>
      </c>
      <c r="I305" s="31" t="str">
        <f>IF(AND(D305=E305,E305=F305,F305=G305,G305=H305),"Yes","No")</f>
        <v>No</v>
      </c>
    </row>
    <row r="306" spans="1:9" x14ac:dyDescent="0.25">
      <c r="A306" s="32" t="str">
        <f>'Zero Shot Run 1'!D12</f>
        <v>Leadership</v>
      </c>
      <c r="B306" s="33" t="str">
        <f>'Zero Shot Run 1'!E12</f>
        <v>LD1.2</v>
      </c>
      <c r="C306" s="34" t="str">
        <f>'Zero Shot Run 1'!F12</f>
        <v>Foster Collaboration and Teamwork</v>
      </c>
      <c r="D306" s="33" t="str">
        <f>IF('Zero Shot Run 1'!I12="","",'Zero Shot Run 1'!I12)</f>
        <v>Improved</v>
      </c>
      <c r="E306" s="33" t="str">
        <f>IF('Zero Shot Run 2'!I12="","",'Zero Shot Run 2'!I12)</f>
        <v>Improved</v>
      </c>
      <c r="F306" s="33" t="str">
        <f>IF('Zero Shot Run 3'!I12="","",'Zero Shot Run 3'!I12)</f>
        <v/>
      </c>
      <c r="G306" s="33" t="str">
        <f>IF('Zero Shot Run 4'!I12="","",'Zero Shot Run 4'!I12)</f>
        <v>Improved</v>
      </c>
      <c r="H306" s="33" t="str">
        <f>IF('Zero Shot Run 5'!I12="","",'Zero Shot Run 5'!I12)</f>
        <v>Improved</v>
      </c>
      <c r="I306" s="36" t="str">
        <f>IF(AND(D306=E306,E306=F306,F306=G306,G306=H306),"Yes","No")</f>
        <v>No</v>
      </c>
    </row>
    <row r="307" spans="1:9" x14ac:dyDescent="0.25">
      <c r="A307" s="27" t="str">
        <f>'Zero Shot Run 1'!D13</f>
        <v>Leadership</v>
      </c>
      <c r="B307" s="28" t="str">
        <f>'Zero Shot Run 1'!E13</f>
        <v>LD1.3</v>
      </c>
      <c r="C307" s="29" t="str">
        <f>'Zero Shot Run 1'!F13</f>
        <v>Provide for Stakeholder Involvement</v>
      </c>
      <c r="D307" s="28" t="str">
        <f>IF('Zero Shot Run 1'!I13="","",'Zero Shot Run 1'!I13)</f>
        <v>Improved</v>
      </c>
      <c r="E307" s="28" t="str">
        <f>IF('Zero Shot Run 2'!I13="","",'Zero Shot Run 2'!I13)</f>
        <v>Improved</v>
      </c>
      <c r="F307" s="28" t="str">
        <f>IF('Zero Shot Run 3'!I13="","",'Zero Shot Run 3'!I13)</f>
        <v/>
      </c>
      <c r="G307" s="28" t="str">
        <f>IF('Zero Shot Run 4'!I13="","",'Zero Shot Run 4'!I13)</f>
        <v>Improved</v>
      </c>
      <c r="H307" s="28" t="str">
        <f>IF('Zero Shot Run 5'!I13="","",'Zero Shot Run 5'!I13)</f>
        <v>Improved</v>
      </c>
      <c r="I307" s="31" t="str">
        <f>IF(AND(D307=E307,E307=F307,F307=G307,G307=H307),"Yes","No")</f>
        <v>No</v>
      </c>
    </row>
    <row r="308" spans="1:9" x14ac:dyDescent="0.25">
      <c r="A308" s="32" t="str">
        <f>'Zero Shot Run 1'!D14</f>
        <v>Leadership</v>
      </c>
      <c r="B308" s="33" t="str">
        <f>'Zero Shot Run 1'!E14</f>
        <v>LD1.4</v>
      </c>
      <c r="C308" s="34" t="str">
        <f>'Zero Shot Run 1'!F14</f>
        <v>Pursue Byproduct Synergies</v>
      </c>
      <c r="D308" s="33" t="str">
        <f>IF('Zero Shot Run 1'!I14="","",'Zero Shot Run 1'!I14)</f>
        <v>Improved</v>
      </c>
      <c r="E308" s="33" t="str">
        <f>IF('Zero Shot Run 2'!I14="","",'Zero Shot Run 2'!I14)</f>
        <v>Improved</v>
      </c>
      <c r="F308" s="33" t="str">
        <f>IF('Zero Shot Run 3'!I14="","",'Zero Shot Run 3'!I14)</f>
        <v/>
      </c>
      <c r="G308" s="33" t="str">
        <f>IF('Zero Shot Run 4'!I14="","",'Zero Shot Run 4'!I14)</f>
        <v>Improved</v>
      </c>
      <c r="H308" s="33" t="str">
        <f>IF('Zero Shot Run 5'!I14="","",'Zero Shot Run 5'!I14)</f>
        <v>Improved</v>
      </c>
      <c r="I308" s="36" t="str">
        <f>IF(AND(D308=E308,E308=F308,F308=G308,G308=H308),"Yes","No")</f>
        <v>No</v>
      </c>
    </row>
    <row r="309" spans="1:9" x14ac:dyDescent="0.25">
      <c r="A309" s="27" t="str">
        <f>'Zero Shot Run 1'!D15</f>
        <v>Leadership</v>
      </c>
      <c r="B309" s="28" t="str">
        <f>'Zero Shot Run 1'!E15</f>
        <v>LD2.1</v>
      </c>
      <c r="C309" s="29" t="str">
        <f>'Zero Shot Run 1'!F15</f>
        <v>Establish a Sustainability Management Plan</v>
      </c>
      <c r="D309" s="28" t="str">
        <f>IF('Zero Shot Run 1'!I15="","",'Zero Shot Run 1'!I15)</f>
        <v>Improved</v>
      </c>
      <c r="E309" s="28" t="str">
        <f>IF('Zero Shot Run 2'!I15="","",'Zero Shot Run 2'!I15)</f>
        <v>Improved</v>
      </c>
      <c r="F309" s="28" t="str">
        <f>IF('Zero Shot Run 3'!I15="","",'Zero Shot Run 3'!I15)</f>
        <v/>
      </c>
      <c r="G309" s="28" t="str">
        <f>IF('Zero Shot Run 4'!I15="","",'Zero Shot Run 4'!I15)</f>
        <v>Improved</v>
      </c>
      <c r="H309" s="28" t="str">
        <f>IF('Zero Shot Run 5'!I15="","",'Zero Shot Run 5'!I15)</f>
        <v>Improved</v>
      </c>
      <c r="I309" s="31" t="str">
        <f>IF(AND(D309=E309,E309=F309,F309=G309,G309=H309),"Yes","No")</f>
        <v>No</v>
      </c>
    </row>
    <row r="310" spans="1:9" x14ac:dyDescent="0.25">
      <c r="A310" s="32" t="str">
        <f>'Zero Shot Run 1'!D16</f>
        <v>Leadership</v>
      </c>
      <c r="B310" s="33" t="str">
        <f>'Zero Shot Run 1'!E16</f>
        <v>LD2.2</v>
      </c>
      <c r="C310" s="34" t="str">
        <f>'Zero Shot Run 1'!F16</f>
        <v>Plan for Sustainable Communities</v>
      </c>
      <c r="D310" s="33" t="str">
        <f>IF('Zero Shot Run 1'!I16="","",'Zero Shot Run 1'!I16)</f>
        <v>Improved</v>
      </c>
      <c r="E310" s="33" t="str">
        <f>IF('Zero Shot Run 2'!I16="","",'Zero Shot Run 2'!I16)</f>
        <v>Improved</v>
      </c>
      <c r="F310" s="33" t="str">
        <f>IF('Zero Shot Run 3'!I16="","",'Zero Shot Run 3'!I16)</f>
        <v/>
      </c>
      <c r="G310" s="33" t="str">
        <f>IF('Zero Shot Run 4'!I16="","",'Zero Shot Run 4'!I16)</f>
        <v>Improved</v>
      </c>
      <c r="H310" s="33" t="str">
        <f>IF('Zero Shot Run 5'!I16="","",'Zero Shot Run 5'!I16)</f>
        <v>Improved</v>
      </c>
      <c r="I310" s="36" t="str">
        <f>IF(AND(D310=E310,E310=F310,F310=G310,G310=H310),"Yes","No")</f>
        <v>No</v>
      </c>
    </row>
    <row r="311" spans="1:9" x14ac:dyDescent="0.25">
      <c r="A311" s="27" t="str">
        <f>'Zero Shot Run 1'!D17</f>
        <v>Leadership</v>
      </c>
      <c r="B311" s="28" t="str">
        <f>'Zero Shot Run 1'!E17</f>
        <v>LD2.3</v>
      </c>
      <c r="C311" s="29" t="str">
        <f>'Zero Shot Run 1'!F17</f>
        <v>Plan for Long-Term Monitoring and Maintenance</v>
      </c>
      <c r="D311" s="28" t="str">
        <f>IF('Zero Shot Run 1'!I17="","",'Zero Shot Run 1'!I17)</f>
        <v>Improved</v>
      </c>
      <c r="E311" s="28" t="str">
        <f>IF('Zero Shot Run 2'!I17="","",'Zero Shot Run 2'!I17)</f>
        <v>Improved</v>
      </c>
      <c r="F311" s="28" t="str">
        <f>IF('Zero Shot Run 3'!I17="","",'Zero Shot Run 3'!I17)</f>
        <v/>
      </c>
      <c r="G311" s="28" t="str">
        <f>IF('Zero Shot Run 4'!I17="","",'Zero Shot Run 4'!I17)</f>
        <v>Improved</v>
      </c>
      <c r="H311" s="28" t="str">
        <f>IF('Zero Shot Run 5'!I17="","",'Zero Shot Run 5'!I17)</f>
        <v>Improved</v>
      </c>
      <c r="I311" s="31" t="str">
        <f>IF(AND(D311=E311,E311=F311,F311=G311,G311=H311),"Yes","No")</f>
        <v>No</v>
      </c>
    </row>
    <row r="312" spans="1:9" x14ac:dyDescent="0.25">
      <c r="A312" s="32" t="str">
        <f>'Zero Shot Run 1'!D18</f>
        <v>Leadership</v>
      </c>
      <c r="B312" s="33" t="str">
        <f>'Zero Shot Run 1'!E18</f>
        <v>LD2.4</v>
      </c>
      <c r="C312" s="34" t="str">
        <f>'Zero Shot Run 1'!F18</f>
        <v>Plan for End-of-Life</v>
      </c>
      <c r="D312" s="33" t="str">
        <f>IF('Zero Shot Run 1'!I18="","",'Zero Shot Run 1'!I18)</f>
        <v>Improved</v>
      </c>
      <c r="E312" s="33" t="str">
        <f>IF('Zero Shot Run 2'!I18="","",'Zero Shot Run 2'!I18)</f>
        <v>Improved</v>
      </c>
      <c r="F312" s="33" t="str">
        <f>IF('Zero Shot Run 3'!I18="","",'Zero Shot Run 3'!I18)</f>
        <v/>
      </c>
      <c r="G312" s="33" t="str">
        <f>IF('Zero Shot Run 4'!I18="","",'Zero Shot Run 4'!I18)</f>
        <v>Improved</v>
      </c>
      <c r="H312" s="33" t="str">
        <f>IF('Zero Shot Run 5'!I18="","",'Zero Shot Run 5'!I18)</f>
        <v>Improved</v>
      </c>
      <c r="I312" s="36" t="str">
        <f>IF(AND(D312=E312,E312=F312,F312=G312,G312=H312),"Yes","No")</f>
        <v>No</v>
      </c>
    </row>
    <row r="313" spans="1:9" x14ac:dyDescent="0.25">
      <c r="A313" s="27" t="str">
        <f>'Zero Shot Run 1'!D19</f>
        <v>Leadership</v>
      </c>
      <c r="B313" s="28" t="str">
        <f>'Zero Shot Run 1'!E19</f>
        <v>LD3.1</v>
      </c>
      <c r="C313" s="29" t="str">
        <f>'Zero Shot Run 1'!F19</f>
        <v>Stimulate Economic Prosperity and Development</v>
      </c>
      <c r="D313" s="28" t="str">
        <f>IF('Zero Shot Run 1'!I19="","",'Zero Shot Run 1'!I19)</f>
        <v>Improved</v>
      </c>
      <c r="E313" s="28" t="str">
        <f>IF('Zero Shot Run 2'!I19="","",'Zero Shot Run 2'!I19)</f>
        <v>Improved</v>
      </c>
      <c r="F313" s="28" t="str">
        <f>IF('Zero Shot Run 3'!I19="","",'Zero Shot Run 3'!I19)</f>
        <v/>
      </c>
      <c r="G313" s="28" t="str">
        <f>IF('Zero Shot Run 4'!I19="","",'Zero Shot Run 4'!I19)</f>
        <v>Improved</v>
      </c>
      <c r="H313" s="28" t="str">
        <f>IF('Zero Shot Run 5'!I19="","",'Zero Shot Run 5'!I19)</f>
        <v>Improved</v>
      </c>
      <c r="I313" s="31" t="str">
        <f>IF(AND(D313=E313,E313=F313,F313=G313,G313=H313),"Yes","No")</f>
        <v>No</v>
      </c>
    </row>
    <row r="314" spans="1:9" x14ac:dyDescent="0.25">
      <c r="A314" s="32" t="str">
        <f>'Zero Shot Run 1'!D20</f>
        <v>Leadership</v>
      </c>
      <c r="B314" s="33" t="str">
        <f>'Zero Shot Run 1'!E20</f>
        <v>LD3.2</v>
      </c>
      <c r="C314" s="34" t="str">
        <f>'Zero Shot Run 1'!F20</f>
        <v>Develop Local Skills and Capabilities</v>
      </c>
      <c r="D314" s="33" t="str">
        <f>IF('Zero Shot Run 1'!I20="","",'Zero Shot Run 1'!I20)</f>
        <v>Improved</v>
      </c>
      <c r="E314" s="33" t="str">
        <f>IF('Zero Shot Run 2'!I20="","",'Zero Shot Run 2'!I20)</f>
        <v>Improved</v>
      </c>
      <c r="F314" s="33" t="str">
        <f>IF('Zero Shot Run 3'!I20="","",'Zero Shot Run 3'!I20)</f>
        <v/>
      </c>
      <c r="G314" s="33" t="str">
        <f>IF('Zero Shot Run 4'!I20="","",'Zero Shot Run 4'!I20)</f>
        <v>Improved</v>
      </c>
      <c r="H314" s="33" t="str">
        <f>IF('Zero Shot Run 5'!I20="","",'Zero Shot Run 5'!I20)</f>
        <v>Improved</v>
      </c>
      <c r="I314" s="36" t="str">
        <f>IF(AND(D314=E314,E314=F314,F314=G314,G314=H314),"Yes","No")</f>
        <v>No</v>
      </c>
    </row>
    <row r="315" spans="1:9" x14ac:dyDescent="0.25">
      <c r="A315" s="27" t="str">
        <f>'Zero Shot Run 1'!D21</f>
        <v>Leadership</v>
      </c>
      <c r="B315" s="28" t="str">
        <f>'Zero Shot Run 1'!E21</f>
        <v>LD3.3</v>
      </c>
      <c r="C315" s="29" t="str">
        <f>'Zero Shot Run 1'!F21</f>
        <v>Conduct a Life-Cycle Economic Evaluation</v>
      </c>
      <c r="D315" s="28" t="str">
        <f>IF('Zero Shot Run 1'!I21="","",'Zero Shot Run 1'!I21)</f>
        <v>Improved</v>
      </c>
      <c r="E315" s="28" t="str">
        <f>IF('Zero Shot Run 2'!I21="","",'Zero Shot Run 2'!I21)</f>
        <v>Improved</v>
      </c>
      <c r="F315" s="28" t="str">
        <f>IF('Zero Shot Run 3'!I21="","",'Zero Shot Run 3'!I21)</f>
        <v/>
      </c>
      <c r="G315" s="28" t="str">
        <f>IF('Zero Shot Run 4'!I21="","",'Zero Shot Run 4'!I21)</f>
        <v>Improved</v>
      </c>
      <c r="H315" s="28" t="str">
        <f>IF('Zero Shot Run 5'!I21="","",'Zero Shot Run 5'!I21)</f>
        <v>Improved</v>
      </c>
      <c r="I315" s="31" t="str">
        <f>IF(AND(D315=E315,E315=F315,F315=G315,G315=H315),"Yes","No")</f>
        <v>No</v>
      </c>
    </row>
    <row r="316" spans="1:9" x14ac:dyDescent="0.25">
      <c r="A316" s="32" t="str">
        <f>'Zero Shot Run 1'!D22</f>
        <v>Natural World</v>
      </c>
      <c r="B316" s="33">
        <f>'Zero Shot Run 1'!E22</f>
        <v>0</v>
      </c>
      <c r="C316" s="34">
        <f>'Zero Shot Run 1'!F22</f>
        <v>0</v>
      </c>
      <c r="D316" s="33" t="str">
        <f>IF('Zero Shot Run 1'!I22="","",'Zero Shot Run 1'!I22)</f>
        <v/>
      </c>
      <c r="E316" s="33" t="str">
        <f>IF('Zero Shot Run 2'!I22="","",'Zero Shot Run 2'!I22)</f>
        <v/>
      </c>
      <c r="F316" s="33" t="str">
        <f>IF('Zero Shot Run 3'!I22="","",'Zero Shot Run 3'!I22)</f>
        <v/>
      </c>
      <c r="G316" s="33" t="str">
        <f>IF('Zero Shot Run 4'!I22="","",'Zero Shot Run 4'!I22)</f>
        <v/>
      </c>
      <c r="H316" s="33" t="str">
        <f>IF('Zero Shot Run 5'!I22="","",'Zero Shot Run 5'!I22)</f>
        <v/>
      </c>
      <c r="I316" s="36" t="str">
        <f>IF(AND(D316=E316,E316=F316,F316=G316,G316=H316),"Yes","No")</f>
        <v>Yes</v>
      </c>
    </row>
    <row r="317" spans="1:9" x14ac:dyDescent="0.25">
      <c r="A317" s="27" t="str">
        <f>'Zero Shot Run 1'!D23</f>
        <v>Quality Of Life</v>
      </c>
      <c r="B317" s="28">
        <f>'Zero Shot Run 1'!E23</f>
        <v>0</v>
      </c>
      <c r="C317" s="29">
        <f>'Zero Shot Run 1'!F23</f>
        <v>0</v>
      </c>
      <c r="D317" s="28" t="str">
        <f>IF('Zero Shot Run 1'!I23="","",'Zero Shot Run 1'!I23)</f>
        <v/>
      </c>
      <c r="E317" s="28" t="str">
        <f>IF('Zero Shot Run 2'!I23="","",'Zero Shot Run 2'!I23)</f>
        <v/>
      </c>
      <c r="F317" s="28" t="str">
        <f>IF('Zero Shot Run 3'!I23="","",'Zero Shot Run 3'!I23)</f>
        <v/>
      </c>
      <c r="G317" s="28" t="str">
        <f>IF('Zero Shot Run 4'!I23="","",'Zero Shot Run 4'!I23)</f>
        <v/>
      </c>
      <c r="H317" s="28" t="str">
        <f>IF('Zero Shot Run 5'!I23="","",'Zero Shot Run 5'!I23)</f>
        <v/>
      </c>
      <c r="I317" s="31" t="str">
        <f>IF(AND(D317=E317,E317=F317,F317=G317,G317=H317),"Yes","No")</f>
        <v>Yes</v>
      </c>
    </row>
    <row r="318" spans="1:9" x14ac:dyDescent="0.25">
      <c r="A318" s="32" t="str">
        <f>'Zero Shot Run 1'!D24</f>
        <v>Resource Allocation</v>
      </c>
      <c r="B318" s="33" t="str">
        <f>'Zero Shot Run 1'!E24</f>
        <v>RA1.1</v>
      </c>
      <c r="C318" s="34" t="str">
        <f>'Zero Shot Run 1'!F24</f>
        <v>Support Sustainable Procurement Practices</v>
      </c>
      <c r="D318" s="33" t="str">
        <f>IF('Zero Shot Run 1'!I24="","",'Zero Shot Run 1'!I24)</f>
        <v/>
      </c>
      <c r="E318" s="33" t="str">
        <f>IF('Zero Shot Run 2'!I24="","",'Zero Shot Run 2'!I24)</f>
        <v/>
      </c>
      <c r="F318" s="33" t="str">
        <f>IF('Zero Shot Run 3'!I24="","",'Zero Shot Run 3'!I24)</f>
        <v/>
      </c>
      <c r="G318" s="33" t="str">
        <f>IF('Zero Shot Run 4'!I24="","",'Zero Shot Run 4'!I24)</f>
        <v/>
      </c>
      <c r="H318" s="33" t="str">
        <f>IF('Zero Shot Run 5'!I24="","",'Zero Shot Run 5'!I24)</f>
        <v/>
      </c>
      <c r="I318" s="36" t="str">
        <f>IF(AND(D318=E318,E318=F318,F318=G318,G318=H318),"Yes","No")</f>
        <v>Yes</v>
      </c>
    </row>
    <row r="319" spans="1:9" x14ac:dyDescent="0.25">
      <c r="A319" s="27" t="str">
        <f>'Zero Shot Run 1'!D25</f>
        <v>Resource Allocation</v>
      </c>
      <c r="B319" s="28" t="str">
        <f>'Zero Shot Run 1'!E25</f>
        <v>RA1.2</v>
      </c>
      <c r="C319" s="29" t="str">
        <f>'Zero Shot Run 1'!F25</f>
        <v>Use Recycled Materials</v>
      </c>
      <c r="D319" s="28" t="str">
        <f>IF('Zero Shot Run 1'!I25="","",'Zero Shot Run 1'!I25)</f>
        <v/>
      </c>
      <c r="E319" s="28" t="str">
        <f>IF('Zero Shot Run 2'!I25="","",'Zero Shot Run 2'!I25)</f>
        <v/>
      </c>
      <c r="F319" s="28" t="str">
        <f>IF('Zero Shot Run 3'!I25="","",'Zero Shot Run 3'!I25)</f>
        <v/>
      </c>
      <c r="G319" s="28" t="str">
        <f>IF('Zero Shot Run 4'!I25="","",'Zero Shot Run 4'!I25)</f>
        <v/>
      </c>
      <c r="H319" s="28" t="str">
        <f>IF('Zero Shot Run 5'!I25="","",'Zero Shot Run 5'!I25)</f>
        <v/>
      </c>
      <c r="I319" s="31" t="str">
        <f>IF(AND(D319=E319,E319=F319,F319=G319,G319=H319),"Yes","No")</f>
        <v>Yes</v>
      </c>
    </row>
    <row r="320" spans="1:9" x14ac:dyDescent="0.25">
      <c r="A320" s="32" t="str">
        <f>'Zero Shot Run 1'!D26</f>
        <v>Resource Allocation</v>
      </c>
      <c r="B320" s="33" t="str">
        <f>'Zero Shot Run 1'!E26</f>
        <v>RA1.3</v>
      </c>
      <c r="C320" s="34" t="str">
        <f>'Zero Shot Run 1'!F26</f>
        <v>Reduce Operational Waste</v>
      </c>
      <c r="D320" s="33" t="str">
        <f>IF('Zero Shot Run 1'!I26="","",'Zero Shot Run 1'!I26)</f>
        <v/>
      </c>
      <c r="E320" s="33" t="str">
        <f>IF('Zero Shot Run 2'!I26="","",'Zero Shot Run 2'!I26)</f>
        <v/>
      </c>
      <c r="F320" s="33" t="str">
        <f>IF('Zero Shot Run 3'!I26="","",'Zero Shot Run 3'!I26)</f>
        <v/>
      </c>
      <c r="G320" s="33" t="str">
        <f>IF('Zero Shot Run 4'!I26="","",'Zero Shot Run 4'!I26)</f>
        <v/>
      </c>
      <c r="H320" s="33" t="str">
        <f>IF('Zero Shot Run 5'!I26="","",'Zero Shot Run 5'!I26)</f>
        <v/>
      </c>
      <c r="I320" s="36" t="str">
        <f>IF(AND(D320=E320,E320=F320,F320=G320,G320=H320),"Yes","No")</f>
        <v>Yes</v>
      </c>
    </row>
    <row r="321" spans="1:9" x14ac:dyDescent="0.25">
      <c r="A321" s="27" t="str">
        <f>'Zero Shot Run 1'!D27</f>
        <v>Resource Allocation</v>
      </c>
      <c r="B321" s="28" t="str">
        <f>'Zero Shot Run 1'!E27</f>
        <v>RA1.4</v>
      </c>
      <c r="C321" s="29" t="str">
        <f>'Zero Shot Run 1'!F27</f>
        <v>Reduce Construction Waste</v>
      </c>
      <c r="D321" s="28" t="str">
        <f>IF('Zero Shot Run 1'!I27="","",'Zero Shot Run 1'!I27)</f>
        <v/>
      </c>
      <c r="E321" s="28" t="str">
        <f>IF('Zero Shot Run 2'!I27="","",'Zero Shot Run 2'!I27)</f>
        <v/>
      </c>
      <c r="F321" s="28" t="str">
        <f>IF('Zero Shot Run 3'!I27="","",'Zero Shot Run 3'!I27)</f>
        <v/>
      </c>
      <c r="G321" s="28" t="str">
        <f>IF('Zero Shot Run 4'!I27="","",'Zero Shot Run 4'!I27)</f>
        <v/>
      </c>
      <c r="H321" s="28" t="str">
        <f>IF('Zero Shot Run 5'!I27="","",'Zero Shot Run 5'!I27)</f>
        <v/>
      </c>
      <c r="I321" s="31" t="str">
        <f>IF(AND(D321=E321,E321=F321,F321=G321,G321=H321),"Yes","No")</f>
        <v>Yes</v>
      </c>
    </row>
    <row r="322" spans="1:9" x14ac:dyDescent="0.25">
      <c r="A322" s="32" t="str">
        <f>'Zero Shot Run 1'!D28</f>
        <v>Resource Allocation</v>
      </c>
      <c r="B322" s="33" t="str">
        <f>'Zero Shot Run 1'!E28</f>
        <v>RA1.5</v>
      </c>
      <c r="C322" s="34" t="str">
        <f>'Zero Shot Run 1'!F28</f>
        <v>Balance Earthwork On Site</v>
      </c>
      <c r="D322" s="33" t="str">
        <f>IF('Zero Shot Run 1'!I28="","",'Zero Shot Run 1'!I28)</f>
        <v/>
      </c>
      <c r="E322" s="33" t="str">
        <f>IF('Zero Shot Run 2'!I28="","",'Zero Shot Run 2'!I28)</f>
        <v/>
      </c>
      <c r="F322" s="33" t="str">
        <f>IF('Zero Shot Run 3'!I28="","",'Zero Shot Run 3'!I28)</f>
        <v/>
      </c>
      <c r="G322" s="33" t="str">
        <f>IF('Zero Shot Run 4'!I28="","",'Zero Shot Run 4'!I28)</f>
        <v/>
      </c>
      <c r="H322" s="33" t="str">
        <f>IF('Zero Shot Run 5'!I28="","",'Zero Shot Run 5'!I28)</f>
        <v/>
      </c>
      <c r="I322" s="36" t="str">
        <f>IF(AND(D322=E322,E322=F322,F322=G322,G322=H322),"Yes","No")</f>
        <v>Yes</v>
      </c>
    </row>
    <row r="323" spans="1:9" x14ac:dyDescent="0.25">
      <c r="A323" s="27" t="str">
        <f>'Zero Shot Run 1'!D29</f>
        <v>Resource Allocation</v>
      </c>
      <c r="B323" s="28" t="str">
        <f>'Zero Shot Run 1'!E29</f>
        <v>RA2.1</v>
      </c>
      <c r="C323" s="29" t="str">
        <f>'Zero Shot Run 1'!F29</f>
        <v>Reduce Operational Energy Consumption</v>
      </c>
      <c r="D323" s="28" t="str">
        <f>IF('Zero Shot Run 1'!I29="","",'Zero Shot Run 1'!I29)</f>
        <v/>
      </c>
      <c r="E323" s="28" t="str">
        <f>IF('Zero Shot Run 2'!I29="","",'Zero Shot Run 2'!I29)</f>
        <v/>
      </c>
      <c r="F323" s="28" t="str">
        <f>IF('Zero Shot Run 3'!I29="","",'Zero Shot Run 3'!I29)</f>
        <v/>
      </c>
      <c r="G323" s="28" t="str">
        <f>IF('Zero Shot Run 4'!I29="","",'Zero Shot Run 4'!I29)</f>
        <v/>
      </c>
      <c r="H323" s="28" t="str">
        <f>IF('Zero Shot Run 5'!I29="","",'Zero Shot Run 5'!I29)</f>
        <v/>
      </c>
      <c r="I323" s="31" t="str">
        <f>IF(AND(D323=E323,E323=F323,F323=G323,G323=H323),"Yes","No")</f>
        <v>Yes</v>
      </c>
    </row>
    <row r="324" spans="1:9" x14ac:dyDescent="0.25">
      <c r="A324" s="32" t="str">
        <f>'Zero Shot Run 1'!D30</f>
        <v>Resource Allocation</v>
      </c>
      <c r="B324" s="33" t="str">
        <f>'Zero Shot Run 1'!E30</f>
        <v>RA2.2</v>
      </c>
      <c r="C324" s="34" t="str">
        <f>'Zero Shot Run 1'!F30</f>
        <v>Reduce Construction Energy Consumption</v>
      </c>
      <c r="D324" s="33" t="str">
        <f>IF('Zero Shot Run 1'!I30="","",'Zero Shot Run 1'!I30)</f>
        <v/>
      </c>
      <c r="E324" s="33" t="str">
        <f>IF('Zero Shot Run 2'!I30="","",'Zero Shot Run 2'!I30)</f>
        <v/>
      </c>
      <c r="F324" s="33" t="str">
        <f>IF('Zero Shot Run 3'!I30="","",'Zero Shot Run 3'!I30)</f>
        <v/>
      </c>
      <c r="G324" s="33" t="str">
        <f>IF('Zero Shot Run 4'!I30="","",'Zero Shot Run 4'!I30)</f>
        <v/>
      </c>
      <c r="H324" s="33" t="str">
        <f>IF('Zero Shot Run 5'!I30="","",'Zero Shot Run 5'!I30)</f>
        <v/>
      </c>
      <c r="I324" s="36" t="str">
        <f>IF(AND(D324=E324,E324=F324,F324=G324,G324=H324),"Yes","No")</f>
        <v>Yes</v>
      </c>
    </row>
    <row r="325" spans="1:9" x14ac:dyDescent="0.25">
      <c r="A325" s="27" t="str">
        <f>'Zero Shot Run 1'!D31</f>
        <v>Resource Allocation</v>
      </c>
      <c r="B325" s="28" t="str">
        <f>'Zero Shot Run 1'!E31</f>
        <v>RA2.3</v>
      </c>
      <c r="C325" s="29" t="str">
        <f>'Zero Shot Run 1'!F31</f>
        <v>Use Renewable Energy</v>
      </c>
      <c r="D325" s="28" t="str">
        <f>IF('Zero Shot Run 1'!I31="","",'Zero Shot Run 1'!I31)</f>
        <v/>
      </c>
      <c r="E325" s="28" t="str">
        <f>IF('Zero Shot Run 2'!I31="","",'Zero Shot Run 2'!I31)</f>
        <v/>
      </c>
      <c r="F325" s="28" t="str">
        <f>IF('Zero Shot Run 3'!I31="","",'Zero Shot Run 3'!I31)</f>
        <v/>
      </c>
      <c r="G325" s="28" t="str">
        <f>IF('Zero Shot Run 4'!I31="","",'Zero Shot Run 4'!I31)</f>
        <v/>
      </c>
      <c r="H325" s="28" t="str">
        <f>IF('Zero Shot Run 5'!I31="","",'Zero Shot Run 5'!I31)</f>
        <v/>
      </c>
      <c r="I325" s="31" t="str">
        <f>IF(AND(D325=E325,E325=F325,F325=G325,G325=H325),"Yes","No")</f>
        <v>Yes</v>
      </c>
    </row>
    <row r="326" spans="1:9" x14ac:dyDescent="0.25">
      <c r="A326" s="32" t="str">
        <f>'Zero Shot Run 1'!D32</f>
        <v>Resource Allocation</v>
      </c>
      <c r="B326" s="33" t="str">
        <f>'Zero Shot Run 1'!E32</f>
        <v>RA2.4</v>
      </c>
      <c r="C326" s="34" t="str">
        <f>'Zero Shot Run 1'!F32</f>
        <v>Commission and Monitor Energy Systems</v>
      </c>
      <c r="D326" s="33" t="str">
        <f>IF('Zero Shot Run 1'!I32="","",'Zero Shot Run 1'!I32)</f>
        <v/>
      </c>
      <c r="E326" s="33" t="str">
        <f>IF('Zero Shot Run 2'!I32="","",'Zero Shot Run 2'!I32)</f>
        <v/>
      </c>
      <c r="F326" s="33" t="str">
        <f>IF('Zero Shot Run 3'!I32="","",'Zero Shot Run 3'!I32)</f>
        <v/>
      </c>
      <c r="G326" s="33" t="str">
        <f>IF('Zero Shot Run 4'!I32="","",'Zero Shot Run 4'!I32)</f>
        <v/>
      </c>
      <c r="H326" s="33" t="str">
        <f>IF('Zero Shot Run 5'!I32="","",'Zero Shot Run 5'!I32)</f>
        <v/>
      </c>
      <c r="I326" s="36" t="str">
        <f>IF(AND(D326=E326,E326=F326,F326=G326,G326=H326),"Yes","No")</f>
        <v>Yes</v>
      </c>
    </row>
    <row r="327" spans="1:9" x14ac:dyDescent="0.25">
      <c r="A327" s="27" t="str">
        <f>'Zero Shot Run 1'!D33</f>
        <v>Resource Allocation</v>
      </c>
      <c r="B327" s="28" t="str">
        <f>'Zero Shot Run 1'!E33</f>
        <v>RA3.1</v>
      </c>
      <c r="C327" s="29" t="str">
        <f>'Zero Shot Run 1'!F33</f>
        <v>Preserve Water Resources</v>
      </c>
      <c r="D327" s="28" t="str">
        <f>IF('Zero Shot Run 1'!I33="","",'Zero Shot Run 1'!I33)</f>
        <v/>
      </c>
      <c r="E327" s="28" t="str">
        <f>IF('Zero Shot Run 2'!I33="","",'Zero Shot Run 2'!I33)</f>
        <v/>
      </c>
      <c r="F327" s="28" t="str">
        <f>IF('Zero Shot Run 3'!I33="","",'Zero Shot Run 3'!I33)</f>
        <v/>
      </c>
      <c r="G327" s="28" t="str">
        <f>IF('Zero Shot Run 4'!I33="","",'Zero Shot Run 4'!I33)</f>
        <v/>
      </c>
      <c r="H327" s="28" t="str">
        <f>IF('Zero Shot Run 5'!I33="","",'Zero Shot Run 5'!I33)</f>
        <v/>
      </c>
      <c r="I327" s="31" t="str">
        <f>IF(AND(D327=E327,E327=F327,F327=G327,G327=H327),"Yes","No")</f>
        <v>Yes</v>
      </c>
    </row>
    <row r="328" spans="1:9" x14ac:dyDescent="0.25">
      <c r="A328" s="32" t="str">
        <f>'Zero Shot Run 1'!D34</f>
        <v>Resource Allocation</v>
      </c>
      <c r="B328" s="33" t="str">
        <f>'Zero Shot Run 1'!E34</f>
        <v>RA3.2</v>
      </c>
      <c r="C328" s="34" t="str">
        <f>'Zero Shot Run 1'!F34</f>
        <v>Reduce Operational Water Consumption</v>
      </c>
      <c r="D328" s="33" t="str">
        <f>IF('Zero Shot Run 1'!I34="","",'Zero Shot Run 1'!I34)</f>
        <v/>
      </c>
      <c r="E328" s="33" t="str">
        <f>IF('Zero Shot Run 2'!I34="","",'Zero Shot Run 2'!I34)</f>
        <v/>
      </c>
      <c r="F328" s="33" t="str">
        <f>IF('Zero Shot Run 3'!I34="","",'Zero Shot Run 3'!I34)</f>
        <v/>
      </c>
      <c r="G328" s="33" t="str">
        <f>IF('Zero Shot Run 4'!I34="","",'Zero Shot Run 4'!I34)</f>
        <v/>
      </c>
      <c r="H328" s="33" t="str">
        <f>IF('Zero Shot Run 5'!I34="","",'Zero Shot Run 5'!I34)</f>
        <v/>
      </c>
      <c r="I328" s="36" t="str">
        <f>IF(AND(D328=E328,E328=F328,F328=G328,G328=H328),"Yes","No")</f>
        <v>Yes</v>
      </c>
    </row>
    <row r="329" spans="1:9" x14ac:dyDescent="0.25">
      <c r="A329" s="27" t="str">
        <f>'Zero Shot Run 1'!D35</f>
        <v>Resource Allocation</v>
      </c>
      <c r="B329" s="28" t="str">
        <f>'Zero Shot Run 1'!E35</f>
        <v>RA3.3</v>
      </c>
      <c r="C329" s="29" t="str">
        <f>'Zero Shot Run 1'!F35</f>
        <v>Reduce Construction Water Consumption</v>
      </c>
      <c r="D329" s="28" t="str">
        <f>IF('Zero Shot Run 1'!I35="","",'Zero Shot Run 1'!I35)</f>
        <v/>
      </c>
      <c r="E329" s="28" t="str">
        <f>IF('Zero Shot Run 2'!I35="","",'Zero Shot Run 2'!I35)</f>
        <v/>
      </c>
      <c r="F329" s="28" t="str">
        <f>IF('Zero Shot Run 3'!I35="","",'Zero Shot Run 3'!I35)</f>
        <v/>
      </c>
      <c r="G329" s="28" t="str">
        <f>IF('Zero Shot Run 4'!I35="","",'Zero Shot Run 4'!I35)</f>
        <v/>
      </c>
      <c r="H329" s="28" t="str">
        <f>IF('Zero Shot Run 5'!I35="","",'Zero Shot Run 5'!I35)</f>
        <v/>
      </c>
      <c r="I329" s="31" t="str">
        <f>IF(AND(D329=E329,E329=F329,F329=G329,G329=H329),"Yes","No")</f>
        <v>Yes</v>
      </c>
    </row>
    <row r="330" spans="1:9" ht="15.75" thickBot="1" x14ac:dyDescent="0.3">
      <c r="A330" s="37" t="str">
        <f>'Zero Shot Run 1'!D36</f>
        <v>Resource Allocation</v>
      </c>
      <c r="B330" s="38" t="str">
        <f>'Zero Shot Run 1'!E36</f>
        <v>RA3.4</v>
      </c>
      <c r="C330" s="39" t="str">
        <f>'Zero Shot Run 1'!F36</f>
        <v>Monitor Water Systems</v>
      </c>
      <c r="D330" s="38" t="str">
        <f>IF('Zero Shot Run 1'!I36="","",'Zero Shot Run 1'!I36)</f>
        <v/>
      </c>
      <c r="E330" s="38" t="str">
        <f>IF('Zero Shot Run 2'!I36="","",'Zero Shot Run 2'!I36)</f>
        <v/>
      </c>
      <c r="F330" s="38" t="str">
        <f>IF('Zero Shot Run 3'!I36="","",'Zero Shot Run 3'!I36)</f>
        <v/>
      </c>
      <c r="G330" s="38" t="str">
        <f>IF('Zero Shot Run 4'!I36="","",'Zero Shot Run 4'!I36)</f>
        <v/>
      </c>
      <c r="H330" s="38" t="str">
        <f>IF('Zero Shot Run 5'!I36="","",'Zero Shot Run 5'!I36)</f>
        <v/>
      </c>
      <c r="I330" s="41" t="str">
        <f>IF(AND(D330=E330,E330=F330,F330=G330,G330=H330),"Yes","No")</f>
        <v>Yes</v>
      </c>
    </row>
    <row r="332" spans="1:9" x14ac:dyDescent="0.25">
      <c r="A332" s="20" t="s">
        <v>9</v>
      </c>
      <c r="B332" s="20"/>
      <c r="C332" s="20"/>
      <c r="D332" s="20"/>
      <c r="E332" s="20"/>
      <c r="F332" s="20"/>
      <c r="G332" s="20"/>
      <c r="H332" s="20"/>
      <c r="I332" s="20"/>
    </row>
    <row r="333" spans="1:9" ht="15.75" thickBot="1" x14ac:dyDescent="0.3">
      <c r="A333" s="21" t="s">
        <v>3</v>
      </c>
      <c r="B333" s="21" t="s">
        <v>4</v>
      </c>
      <c r="C333" s="21" t="s">
        <v>5</v>
      </c>
      <c r="D333" s="21" t="s">
        <v>1068</v>
      </c>
      <c r="E333" s="21" t="s">
        <v>1069</v>
      </c>
      <c r="F333" s="21" t="s">
        <v>1070</v>
      </c>
      <c r="G333" s="21" t="s">
        <v>1071</v>
      </c>
      <c r="H333" s="21" t="s">
        <v>1072</v>
      </c>
      <c r="I333" s="21" t="s">
        <v>1073</v>
      </c>
    </row>
    <row r="334" spans="1:9" x14ac:dyDescent="0.25">
      <c r="A334" s="22" t="str">
        <f>'Zero Shot Run 1'!D2</f>
        <v>Climate And Resilience</v>
      </c>
      <c r="B334" s="23" t="str">
        <f>'Zero Shot Run 1'!E2</f>
        <v>CR1.1</v>
      </c>
      <c r="C334" s="24" t="str">
        <f>'Zero Shot Run 1'!F2</f>
        <v>Reduce Net Embodied Carbon</v>
      </c>
      <c r="D334" s="25">
        <f>IF('Zero Shot Run 1'!J2="","",'Zero Shot Run 1'!J2)</f>
        <v>0</v>
      </c>
      <c r="E334" s="25">
        <f>IF('Zero Shot Run 2'!J2="","",'Zero Shot Run 2'!J2)</f>
        <v>0</v>
      </c>
      <c r="F334" s="25">
        <f>IF('Zero Shot Run 3'!J2="","",'Zero Shot Run 3'!J2)</f>
        <v>0</v>
      </c>
      <c r="G334" s="25">
        <f>IF('Zero Shot Run 4'!J2="","",'Zero Shot Run 4'!J2)</f>
        <v>0</v>
      </c>
      <c r="H334" s="25">
        <f>IF('Zero Shot Run 5'!J2="","",'Zero Shot Run 5'!J2)</f>
        <v>0</v>
      </c>
      <c r="I334" s="26" t="str">
        <f>IF(AND(D334=E334,E334=F334,F334=G334,G334=H334),"Yes","No")</f>
        <v>Yes</v>
      </c>
    </row>
    <row r="335" spans="1:9" x14ac:dyDescent="0.25">
      <c r="A335" s="27" t="str">
        <f>'Zero Shot Run 1'!D3</f>
        <v>Climate And Resilience</v>
      </c>
      <c r="B335" s="28" t="str">
        <f>'Zero Shot Run 1'!E3</f>
        <v>CR1.2</v>
      </c>
      <c r="C335" s="29" t="str">
        <f>'Zero Shot Run 1'!F3</f>
        <v>Reduce Greenhouse Gas Emissions</v>
      </c>
      <c r="D335" s="30">
        <f>IF('Zero Shot Run 1'!J3="","",'Zero Shot Run 1'!J3)</f>
        <v>0</v>
      </c>
      <c r="E335" s="30">
        <f>IF('Zero Shot Run 2'!J3="","",'Zero Shot Run 2'!J3)</f>
        <v>0</v>
      </c>
      <c r="F335" s="30">
        <f>IF('Zero Shot Run 3'!J3="","",'Zero Shot Run 3'!J3)</f>
        <v>0</v>
      </c>
      <c r="G335" s="30">
        <f>IF('Zero Shot Run 4'!J3="","",'Zero Shot Run 4'!J3)</f>
        <v>0</v>
      </c>
      <c r="H335" s="30">
        <f>IF('Zero Shot Run 5'!J3="","",'Zero Shot Run 5'!J3)</f>
        <v>0</v>
      </c>
      <c r="I335" s="31" t="str">
        <f>IF(AND(D335=E335,E335=F335,F335=G335,G335=H335),"Yes","No")</f>
        <v>Yes</v>
      </c>
    </row>
    <row r="336" spans="1:9" x14ac:dyDescent="0.25">
      <c r="A336" s="32" t="str">
        <f>'Zero Shot Run 1'!D4</f>
        <v>Climate And Resilience</v>
      </c>
      <c r="B336" s="33" t="str">
        <f>'Zero Shot Run 1'!E4</f>
        <v>CR1.3</v>
      </c>
      <c r="C336" s="34" t="str">
        <f>'Zero Shot Run 1'!F4</f>
        <v>Reduce Air Pollutant Emissions</v>
      </c>
      <c r="D336" s="35">
        <f>IF('Zero Shot Run 1'!J4="","",'Zero Shot Run 1'!J4)</f>
        <v>0</v>
      </c>
      <c r="E336" s="35">
        <f>IF('Zero Shot Run 2'!J4="","",'Zero Shot Run 2'!J4)</f>
        <v>0</v>
      </c>
      <c r="F336" s="35">
        <f>IF('Zero Shot Run 3'!J4="","",'Zero Shot Run 3'!J4)</f>
        <v>0</v>
      </c>
      <c r="G336" s="35">
        <f>IF('Zero Shot Run 4'!J4="","",'Zero Shot Run 4'!J4)</f>
        <v>0</v>
      </c>
      <c r="H336" s="35">
        <f>IF('Zero Shot Run 5'!J4="","",'Zero Shot Run 5'!J4)</f>
        <v>0</v>
      </c>
      <c r="I336" s="36" t="str">
        <f>IF(AND(D336=E336,E336=F336,F336=G336,G336=H336),"Yes","No")</f>
        <v>Yes</v>
      </c>
    </row>
    <row r="337" spans="1:9" x14ac:dyDescent="0.25">
      <c r="A337" s="27" t="str">
        <f>'Zero Shot Run 1'!D5</f>
        <v>Climate And Resilience</v>
      </c>
      <c r="B337" s="28" t="str">
        <f>'Zero Shot Run 1'!E5</f>
        <v>CR2.1</v>
      </c>
      <c r="C337" s="29" t="str">
        <f>'Zero Shot Run 1'!F5</f>
        <v>Avoid Unsuitable Development</v>
      </c>
      <c r="D337" s="30">
        <f>IF('Zero Shot Run 1'!J5="","",'Zero Shot Run 1'!J5)</f>
        <v>0</v>
      </c>
      <c r="E337" s="30">
        <f>IF('Zero Shot Run 2'!J5="","",'Zero Shot Run 2'!J5)</f>
        <v>0</v>
      </c>
      <c r="F337" s="30">
        <f>IF('Zero Shot Run 3'!J5="","",'Zero Shot Run 3'!J5)</f>
        <v>0</v>
      </c>
      <c r="G337" s="30">
        <f>IF('Zero Shot Run 4'!J5="","",'Zero Shot Run 4'!J5)</f>
        <v>0</v>
      </c>
      <c r="H337" s="30">
        <f>IF('Zero Shot Run 5'!J5="","",'Zero Shot Run 5'!J5)</f>
        <v>0</v>
      </c>
      <c r="I337" s="31" t="str">
        <f>IF(AND(D337=E337,E337=F337,F337=G337,G337=H337),"Yes","No")</f>
        <v>Yes</v>
      </c>
    </row>
    <row r="338" spans="1:9" x14ac:dyDescent="0.25">
      <c r="A338" s="32" t="str">
        <f>'Zero Shot Run 1'!D6</f>
        <v>Climate And Resilience</v>
      </c>
      <c r="B338" s="33" t="str">
        <f>'Zero Shot Run 1'!E6</f>
        <v>CR2.2</v>
      </c>
      <c r="C338" s="34" t="str">
        <f>'Zero Shot Run 1'!F6</f>
        <v>Assess Climate Change Vulnerability</v>
      </c>
      <c r="D338" s="35">
        <f>IF('Zero Shot Run 1'!J6="","",'Zero Shot Run 1'!J6)</f>
        <v>0</v>
      </c>
      <c r="E338" s="35">
        <f>IF('Zero Shot Run 2'!J6="","",'Zero Shot Run 2'!J6)</f>
        <v>0</v>
      </c>
      <c r="F338" s="35">
        <f>IF('Zero Shot Run 3'!J6="","",'Zero Shot Run 3'!J6)</f>
        <v>0</v>
      </c>
      <c r="G338" s="35">
        <f>IF('Zero Shot Run 4'!J6="","",'Zero Shot Run 4'!J6)</f>
        <v>0</v>
      </c>
      <c r="H338" s="35">
        <f>IF('Zero Shot Run 5'!J6="","",'Zero Shot Run 5'!J6)</f>
        <v>0</v>
      </c>
      <c r="I338" s="36" t="str">
        <f>IF(AND(D338=E338,E338=F338,F338=G338,G338=H338),"Yes","No")</f>
        <v>Yes</v>
      </c>
    </row>
    <row r="339" spans="1:9" x14ac:dyDescent="0.25">
      <c r="A339" s="27" t="str">
        <f>'Zero Shot Run 1'!D7</f>
        <v>Climate And Resilience</v>
      </c>
      <c r="B339" s="28" t="str">
        <f>'Zero Shot Run 1'!E7</f>
        <v>CR2.3</v>
      </c>
      <c r="C339" s="29" t="str">
        <f>'Zero Shot Run 1'!F7</f>
        <v>Evaluate Risk and Resilience</v>
      </c>
      <c r="D339" s="30">
        <f>IF('Zero Shot Run 1'!J7="","",'Zero Shot Run 1'!J7)</f>
        <v>0</v>
      </c>
      <c r="E339" s="30">
        <f>IF('Zero Shot Run 2'!J7="","",'Zero Shot Run 2'!J7)</f>
        <v>0</v>
      </c>
      <c r="F339" s="30">
        <f>IF('Zero Shot Run 3'!J7="","",'Zero Shot Run 3'!J7)</f>
        <v>0</v>
      </c>
      <c r="G339" s="30">
        <f>IF('Zero Shot Run 4'!J7="","",'Zero Shot Run 4'!J7)</f>
        <v>0</v>
      </c>
      <c r="H339" s="30">
        <f>IF('Zero Shot Run 5'!J7="","",'Zero Shot Run 5'!J7)</f>
        <v>0</v>
      </c>
      <c r="I339" s="31" t="str">
        <f>IF(AND(D339=E339,E339=F339,F339=G339,G339=H339),"Yes","No")</f>
        <v>Yes</v>
      </c>
    </row>
    <row r="340" spans="1:9" x14ac:dyDescent="0.25">
      <c r="A340" s="32" t="str">
        <f>'Zero Shot Run 1'!D8</f>
        <v>Climate And Resilience</v>
      </c>
      <c r="B340" s="33" t="str">
        <f>'Zero Shot Run 1'!E8</f>
        <v>CR2.4</v>
      </c>
      <c r="C340" s="34" t="str">
        <f>'Zero Shot Run 1'!F8</f>
        <v>Establish Resilience Goals and Strategies</v>
      </c>
      <c r="D340" s="35">
        <f>IF('Zero Shot Run 1'!J8="","",'Zero Shot Run 1'!J8)</f>
        <v>0</v>
      </c>
      <c r="E340" s="35">
        <f>IF('Zero Shot Run 2'!J8="","",'Zero Shot Run 2'!J8)</f>
        <v>0</v>
      </c>
      <c r="F340" s="35">
        <f>IF('Zero Shot Run 3'!J8="","",'Zero Shot Run 3'!J8)</f>
        <v>0</v>
      </c>
      <c r="G340" s="35">
        <f>IF('Zero Shot Run 4'!J8="","",'Zero Shot Run 4'!J8)</f>
        <v>0</v>
      </c>
      <c r="H340" s="35">
        <f>IF('Zero Shot Run 5'!J8="","",'Zero Shot Run 5'!J8)</f>
        <v>0</v>
      </c>
      <c r="I340" s="36" t="str">
        <f>IF(AND(D340=E340,E340=F340,F340=G340,G340=H340),"Yes","No")</f>
        <v>Yes</v>
      </c>
    </row>
    <row r="341" spans="1:9" x14ac:dyDescent="0.25">
      <c r="A341" s="27" t="str">
        <f>'Zero Shot Run 1'!D9</f>
        <v>Climate And Resilience</v>
      </c>
      <c r="B341" s="28" t="str">
        <f>'Zero Shot Run 1'!E9</f>
        <v>CR2.5</v>
      </c>
      <c r="C341" s="29" t="str">
        <f>'Zero Shot Run 1'!F9</f>
        <v>Maximize Resilience</v>
      </c>
      <c r="D341" s="30">
        <f>IF('Zero Shot Run 1'!J9="","",'Zero Shot Run 1'!J9)</f>
        <v>0</v>
      </c>
      <c r="E341" s="30">
        <f>IF('Zero Shot Run 2'!J9="","",'Zero Shot Run 2'!J9)</f>
        <v>0</v>
      </c>
      <c r="F341" s="30">
        <f>IF('Zero Shot Run 3'!J9="","",'Zero Shot Run 3'!J9)</f>
        <v>0</v>
      </c>
      <c r="G341" s="30">
        <f>IF('Zero Shot Run 4'!J9="","",'Zero Shot Run 4'!J9)</f>
        <v>0</v>
      </c>
      <c r="H341" s="30">
        <f>IF('Zero Shot Run 5'!J9="","",'Zero Shot Run 5'!J9)</f>
        <v>0</v>
      </c>
      <c r="I341" s="31" t="str">
        <f>IF(AND(D341=E341,E341=F341,F341=G341,G341=H341),"Yes","No")</f>
        <v>Yes</v>
      </c>
    </row>
    <row r="342" spans="1:9" x14ac:dyDescent="0.25">
      <c r="A342" s="32" t="str">
        <f>'Zero Shot Run 1'!D10</f>
        <v>Climate And Resilience</v>
      </c>
      <c r="B342" s="33" t="str">
        <f>'Zero Shot Run 1'!E10</f>
        <v>CR2.6</v>
      </c>
      <c r="C342" s="34" t="str">
        <f>'Zero Shot Run 1'!F10</f>
        <v>Improve Infrastructure Integration</v>
      </c>
      <c r="D342" s="35">
        <f>IF('Zero Shot Run 1'!J10="","",'Zero Shot Run 1'!J10)</f>
        <v>0</v>
      </c>
      <c r="E342" s="35">
        <f>IF('Zero Shot Run 2'!J10="","",'Zero Shot Run 2'!J10)</f>
        <v>0</v>
      </c>
      <c r="F342" s="35">
        <f>IF('Zero Shot Run 3'!J10="","",'Zero Shot Run 3'!J10)</f>
        <v>0</v>
      </c>
      <c r="G342" s="35">
        <f>IF('Zero Shot Run 4'!J10="","",'Zero Shot Run 4'!J10)</f>
        <v>0</v>
      </c>
      <c r="H342" s="35">
        <f>IF('Zero Shot Run 5'!J10="","",'Zero Shot Run 5'!J10)</f>
        <v>0</v>
      </c>
      <c r="I342" s="36" t="str">
        <f>IF(AND(D342=E342,E342=F342,F342=G342,G342=H342),"Yes","No")</f>
        <v>Yes</v>
      </c>
    </row>
    <row r="343" spans="1:9" x14ac:dyDescent="0.25">
      <c r="A343" s="27" t="str">
        <f>'Zero Shot Run 1'!D11</f>
        <v>Leadership</v>
      </c>
      <c r="B343" s="28" t="str">
        <f>'Zero Shot Run 1'!E11</f>
        <v>LD1.1</v>
      </c>
      <c r="C343" s="29" t="str">
        <f>'Zero Shot Run 1'!F11</f>
        <v>Provide Effective Leadership and Commitment</v>
      </c>
      <c r="D343" s="30">
        <f>IF('Zero Shot Run 1'!J11="","",'Zero Shot Run 1'!J11)</f>
        <v>2</v>
      </c>
      <c r="E343" s="30">
        <f>IF('Zero Shot Run 2'!J11="","",'Zero Shot Run 2'!J11)</f>
        <v>2</v>
      </c>
      <c r="F343" s="30" t="str">
        <f>IF('Zero Shot Run 3'!J11="","",'Zero Shot Run 3'!J11)</f>
        <v/>
      </c>
      <c r="G343" s="30">
        <f>IF('Zero Shot Run 4'!J11="","",'Zero Shot Run 4'!J11)</f>
        <v>2</v>
      </c>
      <c r="H343" s="30">
        <f>IF('Zero Shot Run 5'!J11="","",'Zero Shot Run 5'!J11)</f>
        <v>2</v>
      </c>
      <c r="I343" s="31" t="str">
        <f>IF(AND(D343=E343,E343=F343,F343=G343,G343=H343),"Yes","No")</f>
        <v>No</v>
      </c>
    </row>
    <row r="344" spans="1:9" x14ac:dyDescent="0.25">
      <c r="A344" s="32" t="str">
        <f>'Zero Shot Run 1'!D12</f>
        <v>Leadership</v>
      </c>
      <c r="B344" s="33" t="str">
        <f>'Zero Shot Run 1'!E12</f>
        <v>LD1.2</v>
      </c>
      <c r="C344" s="34" t="str">
        <f>'Zero Shot Run 1'!F12</f>
        <v>Foster Collaboration and Teamwork</v>
      </c>
      <c r="D344" s="35">
        <f>IF('Zero Shot Run 1'!J12="","",'Zero Shot Run 1'!J12)</f>
        <v>2</v>
      </c>
      <c r="E344" s="35">
        <f>IF('Zero Shot Run 2'!J12="","",'Zero Shot Run 2'!J12)</f>
        <v>2</v>
      </c>
      <c r="F344" s="35" t="str">
        <f>IF('Zero Shot Run 3'!J12="","",'Zero Shot Run 3'!J12)</f>
        <v/>
      </c>
      <c r="G344" s="35">
        <f>IF('Zero Shot Run 4'!J12="","",'Zero Shot Run 4'!J12)</f>
        <v>2</v>
      </c>
      <c r="H344" s="35">
        <f>IF('Zero Shot Run 5'!J12="","",'Zero Shot Run 5'!J12)</f>
        <v>2</v>
      </c>
      <c r="I344" s="36" t="str">
        <f>IF(AND(D344=E344,E344=F344,F344=G344,G344=H344),"Yes","No")</f>
        <v>No</v>
      </c>
    </row>
    <row r="345" spans="1:9" x14ac:dyDescent="0.25">
      <c r="A345" s="27" t="str">
        <f>'Zero Shot Run 1'!D13</f>
        <v>Leadership</v>
      </c>
      <c r="B345" s="28" t="str">
        <f>'Zero Shot Run 1'!E13</f>
        <v>LD1.3</v>
      </c>
      <c r="C345" s="29" t="str">
        <f>'Zero Shot Run 1'!F13</f>
        <v>Provide for Stakeholder Involvement</v>
      </c>
      <c r="D345" s="30">
        <f>IF('Zero Shot Run 1'!J13="","",'Zero Shot Run 1'!J13)</f>
        <v>3</v>
      </c>
      <c r="E345" s="30">
        <f>IF('Zero Shot Run 2'!J13="","",'Zero Shot Run 2'!J13)</f>
        <v>3</v>
      </c>
      <c r="F345" s="30" t="str">
        <f>IF('Zero Shot Run 3'!J13="","",'Zero Shot Run 3'!J13)</f>
        <v/>
      </c>
      <c r="G345" s="30">
        <f>IF('Zero Shot Run 4'!J13="","",'Zero Shot Run 4'!J13)</f>
        <v>3</v>
      </c>
      <c r="H345" s="30">
        <f>IF('Zero Shot Run 5'!J13="","",'Zero Shot Run 5'!J13)</f>
        <v>3</v>
      </c>
      <c r="I345" s="31" t="str">
        <f>IF(AND(D345=E345,E345=F345,F345=G345,G345=H345),"Yes","No")</f>
        <v>No</v>
      </c>
    </row>
    <row r="346" spans="1:9" x14ac:dyDescent="0.25">
      <c r="A346" s="32" t="str">
        <f>'Zero Shot Run 1'!D14</f>
        <v>Leadership</v>
      </c>
      <c r="B346" s="33" t="str">
        <f>'Zero Shot Run 1'!E14</f>
        <v>LD1.4</v>
      </c>
      <c r="C346" s="34" t="str">
        <f>'Zero Shot Run 1'!F14</f>
        <v>Pursue Byproduct Synergies</v>
      </c>
      <c r="D346" s="35">
        <f>IF('Zero Shot Run 1'!J14="","",'Zero Shot Run 1'!J14)</f>
        <v>3</v>
      </c>
      <c r="E346" s="35">
        <f>IF('Zero Shot Run 2'!J14="","",'Zero Shot Run 2'!J14)</f>
        <v>3</v>
      </c>
      <c r="F346" s="35" t="str">
        <f>IF('Zero Shot Run 3'!J14="","",'Zero Shot Run 3'!J14)</f>
        <v/>
      </c>
      <c r="G346" s="35">
        <f>IF('Zero Shot Run 4'!J14="","",'Zero Shot Run 4'!J14)</f>
        <v>3</v>
      </c>
      <c r="H346" s="35">
        <f>IF('Zero Shot Run 5'!J14="","",'Zero Shot Run 5'!J14)</f>
        <v>3</v>
      </c>
      <c r="I346" s="36" t="str">
        <f>IF(AND(D346=E346,E346=F346,F346=G346,G346=H346),"Yes","No")</f>
        <v>No</v>
      </c>
    </row>
    <row r="347" spans="1:9" x14ac:dyDescent="0.25">
      <c r="A347" s="27" t="str">
        <f>'Zero Shot Run 1'!D15</f>
        <v>Leadership</v>
      </c>
      <c r="B347" s="28" t="str">
        <f>'Zero Shot Run 1'!E15</f>
        <v>LD2.1</v>
      </c>
      <c r="C347" s="29" t="str">
        <f>'Zero Shot Run 1'!F15</f>
        <v>Establish a Sustainability Management Plan</v>
      </c>
      <c r="D347" s="30">
        <f>IF('Zero Shot Run 1'!J15="","",'Zero Shot Run 1'!J15)</f>
        <v>4</v>
      </c>
      <c r="E347" s="30">
        <f>IF('Zero Shot Run 2'!J15="","",'Zero Shot Run 2'!J15)</f>
        <v>4</v>
      </c>
      <c r="F347" s="30" t="str">
        <f>IF('Zero Shot Run 3'!J15="","",'Zero Shot Run 3'!J15)</f>
        <v/>
      </c>
      <c r="G347" s="30">
        <f>IF('Zero Shot Run 4'!J15="","",'Zero Shot Run 4'!J15)</f>
        <v>4</v>
      </c>
      <c r="H347" s="30">
        <f>IF('Zero Shot Run 5'!J15="","",'Zero Shot Run 5'!J15)</f>
        <v>4</v>
      </c>
      <c r="I347" s="31" t="str">
        <f>IF(AND(D347=E347,E347=F347,F347=G347,G347=H347),"Yes","No")</f>
        <v>No</v>
      </c>
    </row>
    <row r="348" spans="1:9" x14ac:dyDescent="0.25">
      <c r="A348" s="32" t="str">
        <f>'Zero Shot Run 1'!D16</f>
        <v>Leadership</v>
      </c>
      <c r="B348" s="33" t="str">
        <f>'Zero Shot Run 1'!E16</f>
        <v>LD2.2</v>
      </c>
      <c r="C348" s="34" t="str">
        <f>'Zero Shot Run 1'!F16</f>
        <v>Plan for Sustainable Communities</v>
      </c>
      <c r="D348" s="35">
        <f>IF('Zero Shot Run 1'!J16="","",'Zero Shot Run 1'!J16)</f>
        <v>4</v>
      </c>
      <c r="E348" s="35">
        <f>IF('Zero Shot Run 2'!J16="","",'Zero Shot Run 2'!J16)</f>
        <v>4</v>
      </c>
      <c r="F348" s="35" t="str">
        <f>IF('Zero Shot Run 3'!J16="","",'Zero Shot Run 3'!J16)</f>
        <v/>
      </c>
      <c r="G348" s="35">
        <f>IF('Zero Shot Run 4'!J16="","",'Zero Shot Run 4'!J16)</f>
        <v>4</v>
      </c>
      <c r="H348" s="35">
        <f>IF('Zero Shot Run 5'!J16="","",'Zero Shot Run 5'!J16)</f>
        <v>4</v>
      </c>
      <c r="I348" s="36" t="str">
        <f>IF(AND(D348=E348,E348=F348,F348=G348,G348=H348),"Yes","No")</f>
        <v>No</v>
      </c>
    </row>
    <row r="349" spans="1:9" x14ac:dyDescent="0.25">
      <c r="A349" s="27" t="str">
        <f>'Zero Shot Run 1'!D17</f>
        <v>Leadership</v>
      </c>
      <c r="B349" s="28" t="str">
        <f>'Zero Shot Run 1'!E17</f>
        <v>LD2.3</v>
      </c>
      <c r="C349" s="29" t="str">
        <f>'Zero Shot Run 1'!F17</f>
        <v>Plan for Long-Term Monitoring and Maintenance</v>
      </c>
      <c r="D349" s="30">
        <f>IF('Zero Shot Run 1'!J17="","",'Zero Shot Run 1'!J17)</f>
        <v>2</v>
      </c>
      <c r="E349" s="30">
        <f>IF('Zero Shot Run 2'!J17="","",'Zero Shot Run 2'!J17)</f>
        <v>2</v>
      </c>
      <c r="F349" s="30" t="str">
        <f>IF('Zero Shot Run 3'!J17="","",'Zero Shot Run 3'!J17)</f>
        <v/>
      </c>
      <c r="G349" s="30">
        <f>IF('Zero Shot Run 4'!J17="","",'Zero Shot Run 4'!J17)</f>
        <v>2</v>
      </c>
      <c r="H349" s="30">
        <f>IF('Zero Shot Run 5'!J17="","",'Zero Shot Run 5'!J17)</f>
        <v>2</v>
      </c>
      <c r="I349" s="31" t="str">
        <f>IF(AND(D349=E349,E349=F349,F349=G349,G349=H349),"Yes","No")</f>
        <v>No</v>
      </c>
    </row>
    <row r="350" spans="1:9" x14ac:dyDescent="0.25">
      <c r="A350" s="32" t="str">
        <f>'Zero Shot Run 1'!D18</f>
        <v>Leadership</v>
      </c>
      <c r="B350" s="33" t="str">
        <f>'Zero Shot Run 1'!E18</f>
        <v>LD2.4</v>
      </c>
      <c r="C350" s="34" t="str">
        <f>'Zero Shot Run 1'!F18</f>
        <v>Plan for End-of-Life</v>
      </c>
      <c r="D350" s="35">
        <f>IF('Zero Shot Run 1'!J18="","",'Zero Shot Run 1'!J18)</f>
        <v>2</v>
      </c>
      <c r="E350" s="35">
        <f>IF('Zero Shot Run 2'!J18="","",'Zero Shot Run 2'!J18)</f>
        <v>2</v>
      </c>
      <c r="F350" s="35" t="str">
        <f>IF('Zero Shot Run 3'!J18="","",'Zero Shot Run 3'!J18)</f>
        <v/>
      </c>
      <c r="G350" s="35">
        <f>IF('Zero Shot Run 4'!J18="","",'Zero Shot Run 4'!J18)</f>
        <v>2</v>
      </c>
      <c r="H350" s="35">
        <f>IF('Zero Shot Run 5'!J18="","",'Zero Shot Run 5'!J18)</f>
        <v>2</v>
      </c>
      <c r="I350" s="36" t="str">
        <f>IF(AND(D350=E350,E350=F350,F350=G350,G350=H350),"Yes","No")</f>
        <v>No</v>
      </c>
    </row>
    <row r="351" spans="1:9" x14ac:dyDescent="0.25">
      <c r="A351" s="27" t="str">
        <f>'Zero Shot Run 1'!D19</f>
        <v>Leadership</v>
      </c>
      <c r="B351" s="28" t="str">
        <f>'Zero Shot Run 1'!E19</f>
        <v>LD3.1</v>
      </c>
      <c r="C351" s="29" t="str">
        <f>'Zero Shot Run 1'!F19</f>
        <v>Stimulate Economic Prosperity and Development</v>
      </c>
      <c r="D351" s="30">
        <f>IF('Zero Shot Run 1'!J19="","",'Zero Shot Run 1'!J19)</f>
        <v>3</v>
      </c>
      <c r="E351" s="30">
        <f>IF('Zero Shot Run 2'!J19="","",'Zero Shot Run 2'!J19)</f>
        <v>3</v>
      </c>
      <c r="F351" s="30" t="str">
        <f>IF('Zero Shot Run 3'!J19="","",'Zero Shot Run 3'!J19)</f>
        <v/>
      </c>
      <c r="G351" s="30">
        <f>IF('Zero Shot Run 4'!J19="","",'Zero Shot Run 4'!J19)</f>
        <v>3</v>
      </c>
      <c r="H351" s="30">
        <f>IF('Zero Shot Run 5'!J19="","",'Zero Shot Run 5'!J19)</f>
        <v>3</v>
      </c>
      <c r="I351" s="31" t="str">
        <f>IF(AND(D351=E351,E351=F351,F351=G351,G351=H351),"Yes","No")</f>
        <v>No</v>
      </c>
    </row>
    <row r="352" spans="1:9" x14ac:dyDescent="0.25">
      <c r="A352" s="32" t="str">
        <f>'Zero Shot Run 1'!D20</f>
        <v>Leadership</v>
      </c>
      <c r="B352" s="33" t="str">
        <f>'Zero Shot Run 1'!E20</f>
        <v>LD3.2</v>
      </c>
      <c r="C352" s="34" t="str">
        <f>'Zero Shot Run 1'!F20</f>
        <v>Develop Local Skills and Capabilities</v>
      </c>
      <c r="D352" s="35">
        <f>IF('Zero Shot Run 1'!J20="","",'Zero Shot Run 1'!J20)</f>
        <v>2</v>
      </c>
      <c r="E352" s="35">
        <f>IF('Zero Shot Run 2'!J20="","",'Zero Shot Run 2'!J20)</f>
        <v>2</v>
      </c>
      <c r="F352" s="35" t="str">
        <f>IF('Zero Shot Run 3'!J20="","",'Zero Shot Run 3'!J20)</f>
        <v/>
      </c>
      <c r="G352" s="35">
        <f>IF('Zero Shot Run 4'!J20="","",'Zero Shot Run 4'!J20)</f>
        <v>2</v>
      </c>
      <c r="H352" s="35">
        <f>IF('Zero Shot Run 5'!J20="","",'Zero Shot Run 5'!J20)</f>
        <v>2</v>
      </c>
      <c r="I352" s="36" t="str">
        <f>IF(AND(D352=E352,E352=F352,F352=G352,G352=H352),"Yes","No")</f>
        <v>No</v>
      </c>
    </row>
    <row r="353" spans="1:9" x14ac:dyDescent="0.25">
      <c r="A353" s="27" t="str">
        <f>'Zero Shot Run 1'!D21</f>
        <v>Leadership</v>
      </c>
      <c r="B353" s="28" t="str">
        <f>'Zero Shot Run 1'!E21</f>
        <v>LD3.3</v>
      </c>
      <c r="C353" s="29" t="str">
        <f>'Zero Shot Run 1'!F21</f>
        <v>Conduct a Life-Cycle Economic Evaluation</v>
      </c>
      <c r="D353" s="30">
        <f>IF('Zero Shot Run 1'!J21="","",'Zero Shot Run 1'!J21)</f>
        <v>5</v>
      </c>
      <c r="E353" s="30">
        <f>IF('Zero Shot Run 2'!J21="","",'Zero Shot Run 2'!J21)</f>
        <v>5</v>
      </c>
      <c r="F353" s="30" t="str">
        <f>IF('Zero Shot Run 3'!J21="","",'Zero Shot Run 3'!J21)</f>
        <v/>
      </c>
      <c r="G353" s="30">
        <f>IF('Zero Shot Run 4'!J21="","",'Zero Shot Run 4'!J21)</f>
        <v>5</v>
      </c>
      <c r="H353" s="30">
        <f>IF('Zero Shot Run 5'!J21="","",'Zero Shot Run 5'!J21)</f>
        <v>5</v>
      </c>
      <c r="I353" s="31" t="str">
        <f>IF(AND(D353=E353,E353=F353,F353=G353,G353=H353),"Yes","No")</f>
        <v>No</v>
      </c>
    </row>
    <row r="354" spans="1:9" x14ac:dyDescent="0.25">
      <c r="A354" s="32" t="str">
        <f>'Zero Shot Run 1'!D22</f>
        <v>Natural World</v>
      </c>
      <c r="B354" s="33">
        <f>'Zero Shot Run 1'!E22</f>
        <v>0</v>
      </c>
      <c r="C354" s="34">
        <f>'Zero Shot Run 1'!F22</f>
        <v>0</v>
      </c>
      <c r="D354" s="35" t="str">
        <f>IF('Zero Shot Run 1'!J22="","",'Zero Shot Run 1'!J22)</f>
        <v/>
      </c>
      <c r="E354" s="35" t="str">
        <f>IF('Zero Shot Run 2'!J22="","",'Zero Shot Run 2'!J22)</f>
        <v/>
      </c>
      <c r="F354" s="35" t="str">
        <f>IF('Zero Shot Run 3'!J22="","",'Zero Shot Run 3'!J22)</f>
        <v/>
      </c>
      <c r="G354" s="35" t="str">
        <f>IF('Zero Shot Run 4'!J22="","",'Zero Shot Run 4'!J22)</f>
        <v/>
      </c>
      <c r="H354" s="35" t="str">
        <f>IF('Zero Shot Run 5'!J22="","",'Zero Shot Run 5'!J22)</f>
        <v/>
      </c>
      <c r="I354" s="36" t="str">
        <f>IF(AND(D354=E354,E354=F354,F354=G354,G354=H354),"Yes","No")</f>
        <v>Yes</v>
      </c>
    </row>
    <row r="355" spans="1:9" x14ac:dyDescent="0.25">
      <c r="A355" s="27" t="str">
        <f>'Zero Shot Run 1'!D23</f>
        <v>Quality Of Life</v>
      </c>
      <c r="B355" s="28">
        <f>'Zero Shot Run 1'!E23</f>
        <v>0</v>
      </c>
      <c r="C355" s="29">
        <f>'Zero Shot Run 1'!F23</f>
        <v>0</v>
      </c>
      <c r="D355" s="30" t="str">
        <f>IF('Zero Shot Run 1'!J23="","",'Zero Shot Run 1'!J23)</f>
        <v/>
      </c>
      <c r="E355" s="30" t="str">
        <f>IF('Zero Shot Run 2'!J23="","",'Zero Shot Run 2'!J23)</f>
        <v/>
      </c>
      <c r="F355" s="30" t="str">
        <f>IF('Zero Shot Run 3'!J23="","",'Zero Shot Run 3'!J23)</f>
        <v/>
      </c>
      <c r="G355" s="30" t="str">
        <f>IF('Zero Shot Run 4'!J23="","",'Zero Shot Run 4'!J23)</f>
        <v/>
      </c>
      <c r="H355" s="30" t="str">
        <f>IF('Zero Shot Run 5'!J23="","",'Zero Shot Run 5'!J23)</f>
        <v/>
      </c>
      <c r="I355" s="31" t="str">
        <f>IF(AND(D355=E355,E355=F355,F355=G355,G355=H355),"Yes","No")</f>
        <v>Yes</v>
      </c>
    </row>
    <row r="356" spans="1:9" x14ac:dyDescent="0.25">
      <c r="A356" s="32" t="str">
        <f>'Zero Shot Run 1'!D24</f>
        <v>Resource Allocation</v>
      </c>
      <c r="B356" s="33" t="str">
        <f>'Zero Shot Run 1'!E24</f>
        <v>RA1.1</v>
      </c>
      <c r="C356" s="34" t="str">
        <f>'Zero Shot Run 1'!F24</f>
        <v>Support Sustainable Procurement Practices</v>
      </c>
      <c r="D356" s="35" t="str">
        <f>IF('Zero Shot Run 1'!J24="","",'Zero Shot Run 1'!J24)</f>
        <v/>
      </c>
      <c r="E356" s="35" t="str">
        <f>IF('Zero Shot Run 2'!J24="","",'Zero Shot Run 2'!J24)</f>
        <v/>
      </c>
      <c r="F356" s="35" t="str">
        <f>IF('Zero Shot Run 3'!J24="","",'Zero Shot Run 3'!J24)</f>
        <v/>
      </c>
      <c r="G356" s="35" t="str">
        <f>IF('Zero Shot Run 4'!J24="","",'Zero Shot Run 4'!J24)</f>
        <v/>
      </c>
      <c r="H356" s="35" t="str">
        <f>IF('Zero Shot Run 5'!J24="","",'Zero Shot Run 5'!J24)</f>
        <v/>
      </c>
      <c r="I356" s="36" t="str">
        <f>IF(AND(D356=E356,E356=F356,F356=G356,G356=H356),"Yes","No")</f>
        <v>Yes</v>
      </c>
    </row>
    <row r="357" spans="1:9" x14ac:dyDescent="0.25">
      <c r="A357" s="27" t="str">
        <f>'Zero Shot Run 1'!D25</f>
        <v>Resource Allocation</v>
      </c>
      <c r="B357" s="28" t="str">
        <f>'Zero Shot Run 1'!E25</f>
        <v>RA1.2</v>
      </c>
      <c r="C357" s="29" t="str">
        <f>'Zero Shot Run 1'!F25</f>
        <v>Use Recycled Materials</v>
      </c>
      <c r="D357" s="30" t="str">
        <f>IF('Zero Shot Run 1'!J25="","",'Zero Shot Run 1'!J25)</f>
        <v/>
      </c>
      <c r="E357" s="30" t="str">
        <f>IF('Zero Shot Run 2'!J25="","",'Zero Shot Run 2'!J25)</f>
        <v/>
      </c>
      <c r="F357" s="30" t="str">
        <f>IF('Zero Shot Run 3'!J25="","",'Zero Shot Run 3'!J25)</f>
        <v/>
      </c>
      <c r="G357" s="30" t="str">
        <f>IF('Zero Shot Run 4'!J25="","",'Zero Shot Run 4'!J25)</f>
        <v/>
      </c>
      <c r="H357" s="30" t="str">
        <f>IF('Zero Shot Run 5'!J25="","",'Zero Shot Run 5'!J25)</f>
        <v/>
      </c>
      <c r="I357" s="31" t="str">
        <f>IF(AND(D357=E357,E357=F357,F357=G357,G357=H357),"Yes","No")</f>
        <v>Yes</v>
      </c>
    </row>
    <row r="358" spans="1:9" x14ac:dyDescent="0.25">
      <c r="A358" s="32" t="str">
        <f>'Zero Shot Run 1'!D26</f>
        <v>Resource Allocation</v>
      </c>
      <c r="B358" s="33" t="str">
        <f>'Zero Shot Run 1'!E26</f>
        <v>RA1.3</v>
      </c>
      <c r="C358" s="34" t="str">
        <f>'Zero Shot Run 1'!F26</f>
        <v>Reduce Operational Waste</v>
      </c>
      <c r="D358" s="35" t="str">
        <f>IF('Zero Shot Run 1'!J26="","",'Zero Shot Run 1'!J26)</f>
        <v/>
      </c>
      <c r="E358" s="35" t="str">
        <f>IF('Zero Shot Run 2'!J26="","",'Zero Shot Run 2'!J26)</f>
        <v/>
      </c>
      <c r="F358" s="35" t="str">
        <f>IF('Zero Shot Run 3'!J26="","",'Zero Shot Run 3'!J26)</f>
        <v/>
      </c>
      <c r="G358" s="35" t="str">
        <f>IF('Zero Shot Run 4'!J26="","",'Zero Shot Run 4'!J26)</f>
        <v/>
      </c>
      <c r="H358" s="35" t="str">
        <f>IF('Zero Shot Run 5'!J26="","",'Zero Shot Run 5'!J26)</f>
        <v/>
      </c>
      <c r="I358" s="36" t="str">
        <f>IF(AND(D358=E358,E358=F358,F358=G358,G358=H358),"Yes","No")</f>
        <v>Yes</v>
      </c>
    </row>
    <row r="359" spans="1:9" x14ac:dyDescent="0.25">
      <c r="A359" s="27" t="str">
        <f>'Zero Shot Run 1'!D27</f>
        <v>Resource Allocation</v>
      </c>
      <c r="B359" s="28" t="str">
        <f>'Zero Shot Run 1'!E27</f>
        <v>RA1.4</v>
      </c>
      <c r="C359" s="29" t="str">
        <f>'Zero Shot Run 1'!F27</f>
        <v>Reduce Construction Waste</v>
      </c>
      <c r="D359" s="30" t="str">
        <f>IF('Zero Shot Run 1'!J27="","",'Zero Shot Run 1'!J27)</f>
        <v/>
      </c>
      <c r="E359" s="30" t="str">
        <f>IF('Zero Shot Run 2'!J27="","",'Zero Shot Run 2'!J27)</f>
        <v/>
      </c>
      <c r="F359" s="30" t="str">
        <f>IF('Zero Shot Run 3'!J27="","",'Zero Shot Run 3'!J27)</f>
        <v/>
      </c>
      <c r="G359" s="30" t="str">
        <f>IF('Zero Shot Run 4'!J27="","",'Zero Shot Run 4'!J27)</f>
        <v/>
      </c>
      <c r="H359" s="30" t="str">
        <f>IF('Zero Shot Run 5'!J27="","",'Zero Shot Run 5'!J27)</f>
        <v/>
      </c>
      <c r="I359" s="31" t="str">
        <f>IF(AND(D359=E359,E359=F359,F359=G359,G359=H359),"Yes","No")</f>
        <v>Yes</v>
      </c>
    </row>
    <row r="360" spans="1:9" x14ac:dyDescent="0.25">
      <c r="A360" s="32" t="str">
        <f>'Zero Shot Run 1'!D28</f>
        <v>Resource Allocation</v>
      </c>
      <c r="B360" s="33" t="str">
        <f>'Zero Shot Run 1'!E28</f>
        <v>RA1.5</v>
      </c>
      <c r="C360" s="34" t="str">
        <f>'Zero Shot Run 1'!F28</f>
        <v>Balance Earthwork On Site</v>
      </c>
      <c r="D360" s="35" t="str">
        <f>IF('Zero Shot Run 1'!J28="","",'Zero Shot Run 1'!J28)</f>
        <v/>
      </c>
      <c r="E360" s="35" t="str">
        <f>IF('Zero Shot Run 2'!J28="","",'Zero Shot Run 2'!J28)</f>
        <v/>
      </c>
      <c r="F360" s="35" t="str">
        <f>IF('Zero Shot Run 3'!J28="","",'Zero Shot Run 3'!J28)</f>
        <v/>
      </c>
      <c r="G360" s="35" t="str">
        <f>IF('Zero Shot Run 4'!J28="","",'Zero Shot Run 4'!J28)</f>
        <v/>
      </c>
      <c r="H360" s="35" t="str">
        <f>IF('Zero Shot Run 5'!J28="","",'Zero Shot Run 5'!J28)</f>
        <v/>
      </c>
      <c r="I360" s="36" t="str">
        <f>IF(AND(D360=E360,E360=F360,F360=G360,G360=H360),"Yes","No")</f>
        <v>Yes</v>
      </c>
    </row>
    <row r="361" spans="1:9" x14ac:dyDescent="0.25">
      <c r="A361" s="27" t="str">
        <f>'Zero Shot Run 1'!D29</f>
        <v>Resource Allocation</v>
      </c>
      <c r="B361" s="28" t="str">
        <f>'Zero Shot Run 1'!E29</f>
        <v>RA2.1</v>
      </c>
      <c r="C361" s="29" t="str">
        <f>'Zero Shot Run 1'!F29</f>
        <v>Reduce Operational Energy Consumption</v>
      </c>
      <c r="D361" s="30" t="str">
        <f>IF('Zero Shot Run 1'!J29="","",'Zero Shot Run 1'!J29)</f>
        <v/>
      </c>
      <c r="E361" s="30" t="str">
        <f>IF('Zero Shot Run 2'!J29="","",'Zero Shot Run 2'!J29)</f>
        <v/>
      </c>
      <c r="F361" s="30" t="str">
        <f>IF('Zero Shot Run 3'!J29="","",'Zero Shot Run 3'!J29)</f>
        <v/>
      </c>
      <c r="G361" s="30" t="str">
        <f>IF('Zero Shot Run 4'!J29="","",'Zero Shot Run 4'!J29)</f>
        <v/>
      </c>
      <c r="H361" s="30" t="str">
        <f>IF('Zero Shot Run 5'!J29="","",'Zero Shot Run 5'!J29)</f>
        <v/>
      </c>
      <c r="I361" s="31" t="str">
        <f>IF(AND(D361=E361,E361=F361,F361=G361,G361=H361),"Yes","No")</f>
        <v>Yes</v>
      </c>
    </row>
    <row r="362" spans="1:9" x14ac:dyDescent="0.25">
      <c r="A362" s="32" t="str">
        <f>'Zero Shot Run 1'!D30</f>
        <v>Resource Allocation</v>
      </c>
      <c r="B362" s="33" t="str">
        <f>'Zero Shot Run 1'!E30</f>
        <v>RA2.2</v>
      </c>
      <c r="C362" s="34" t="str">
        <f>'Zero Shot Run 1'!F30</f>
        <v>Reduce Construction Energy Consumption</v>
      </c>
      <c r="D362" s="35" t="str">
        <f>IF('Zero Shot Run 1'!J30="","",'Zero Shot Run 1'!J30)</f>
        <v/>
      </c>
      <c r="E362" s="35" t="str">
        <f>IF('Zero Shot Run 2'!J30="","",'Zero Shot Run 2'!J30)</f>
        <v/>
      </c>
      <c r="F362" s="35" t="str">
        <f>IF('Zero Shot Run 3'!J30="","",'Zero Shot Run 3'!J30)</f>
        <v/>
      </c>
      <c r="G362" s="35" t="str">
        <f>IF('Zero Shot Run 4'!J30="","",'Zero Shot Run 4'!J30)</f>
        <v/>
      </c>
      <c r="H362" s="35" t="str">
        <f>IF('Zero Shot Run 5'!J30="","",'Zero Shot Run 5'!J30)</f>
        <v/>
      </c>
      <c r="I362" s="36" t="str">
        <f>IF(AND(D362=E362,E362=F362,F362=G362,G362=H362),"Yes","No")</f>
        <v>Yes</v>
      </c>
    </row>
    <row r="363" spans="1:9" x14ac:dyDescent="0.25">
      <c r="A363" s="27" t="str">
        <f>'Zero Shot Run 1'!D31</f>
        <v>Resource Allocation</v>
      </c>
      <c r="B363" s="28" t="str">
        <f>'Zero Shot Run 1'!E31</f>
        <v>RA2.3</v>
      </c>
      <c r="C363" s="29" t="str">
        <f>'Zero Shot Run 1'!F31</f>
        <v>Use Renewable Energy</v>
      </c>
      <c r="D363" s="30" t="str">
        <f>IF('Zero Shot Run 1'!J31="","",'Zero Shot Run 1'!J31)</f>
        <v/>
      </c>
      <c r="E363" s="30" t="str">
        <f>IF('Zero Shot Run 2'!J31="","",'Zero Shot Run 2'!J31)</f>
        <v/>
      </c>
      <c r="F363" s="30" t="str">
        <f>IF('Zero Shot Run 3'!J31="","",'Zero Shot Run 3'!J31)</f>
        <v/>
      </c>
      <c r="G363" s="30" t="str">
        <f>IF('Zero Shot Run 4'!J31="","",'Zero Shot Run 4'!J31)</f>
        <v/>
      </c>
      <c r="H363" s="30" t="str">
        <f>IF('Zero Shot Run 5'!J31="","",'Zero Shot Run 5'!J31)</f>
        <v/>
      </c>
      <c r="I363" s="31" t="str">
        <f>IF(AND(D363=E363,E363=F363,F363=G363,G363=H363),"Yes","No")</f>
        <v>Yes</v>
      </c>
    </row>
    <row r="364" spans="1:9" x14ac:dyDescent="0.25">
      <c r="A364" s="32" t="str">
        <f>'Zero Shot Run 1'!D32</f>
        <v>Resource Allocation</v>
      </c>
      <c r="B364" s="33" t="str">
        <f>'Zero Shot Run 1'!E32</f>
        <v>RA2.4</v>
      </c>
      <c r="C364" s="34" t="str">
        <f>'Zero Shot Run 1'!F32</f>
        <v>Commission and Monitor Energy Systems</v>
      </c>
      <c r="D364" s="35" t="str">
        <f>IF('Zero Shot Run 1'!J32="","",'Zero Shot Run 1'!J32)</f>
        <v/>
      </c>
      <c r="E364" s="35" t="str">
        <f>IF('Zero Shot Run 2'!J32="","",'Zero Shot Run 2'!J32)</f>
        <v/>
      </c>
      <c r="F364" s="35" t="str">
        <f>IF('Zero Shot Run 3'!J32="","",'Zero Shot Run 3'!J32)</f>
        <v/>
      </c>
      <c r="G364" s="35" t="str">
        <f>IF('Zero Shot Run 4'!J32="","",'Zero Shot Run 4'!J32)</f>
        <v/>
      </c>
      <c r="H364" s="35" t="str">
        <f>IF('Zero Shot Run 5'!J32="","",'Zero Shot Run 5'!J32)</f>
        <v/>
      </c>
      <c r="I364" s="36" t="str">
        <f>IF(AND(D364=E364,E364=F364,F364=G364,G364=H364),"Yes","No")</f>
        <v>Yes</v>
      </c>
    </row>
    <row r="365" spans="1:9" x14ac:dyDescent="0.25">
      <c r="A365" s="27" t="str">
        <f>'Zero Shot Run 1'!D33</f>
        <v>Resource Allocation</v>
      </c>
      <c r="B365" s="28" t="str">
        <f>'Zero Shot Run 1'!E33</f>
        <v>RA3.1</v>
      </c>
      <c r="C365" s="29" t="str">
        <f>'Zero Shot Run 1'!F33</f>
        <v>Preserve Water Resources</v>
      </c>
      <c r="D365" s="30" t="str">
        <f>IF('Zero Shot Run 1'!J33="","",'Zero Shot Run 1'!J33)</f>
        <v/>
      </c>
      <c r="E365" s="30" t="str">
        <f>IF('Zero Shot Run 2'!J33="","",'Zero Shot Run 2'!J33)</f>
        <v/>
      </c>
      <c r="F365" s="30" t="str">
        <f>IF('Zero Shot Run 3'!J33="","",'Zero Shot Run 3'!J33)</f>
        <v/>
      </c>
      <c r="G365" s="30" t="str">
        <f>IF('Zero Shot Run 4'!J33="","",'Zero Shot Run 4'!J33)</f>
        <v/>
      </c>
      <c r="H365" s="30" t="str">
        <f>IF('Zero Shot Run 5'!J33="","",'Zero Shot Run 5'!J33)</f>
        <v/>
      </c>
      <c r="I365" s="31" t="str">
        <f>IF(AND(D365=E365,E365=F365,F365=G365,G365=H365),"Yes","No")</f>
        <v>Yes</v>
      </c>
    </row>
    <row r="366" spans="1:9" x14ac:dyDescent="0.25">
      <c r="A366" s="32" t="str">
        <f>'Zero Shot Run 1'!D34</f>
        <v>Resource Allocation</v>
      </c>
      <c r="B366" s="33" t="str">
        <f>'Zero Shot Run 1'!E34</f>
        <v>RA3.2</v>
      </c>
      <c r="C366" s="34" t="str">
        <f>'Zero Shot Run 1'!F34</f>
        <v>Reduce Operational Water Consumption</v>
      </c>
      <c r="D366" s="35" t="str">
        <f>IF('Zero Shot Run 1'!J34="","",'Zero Shot Run 1'!J34)</f>
        <v/>
      </c>
      <c r="E366" s="35" t="str">
        <f>IF('Zero Shot Run 2'!J34="","",'Zero Shot Run 2'!J34)</f>
        <v/>
      </c>
      <c r="F366" s="35" t="str">
        <f>IF('Zero Shot Run 3'!J34="","",'Zero Shot Run 3'!J34)</f>
        <v/>
      </c>
      <c r="G366" s="35" t="str">
        <f>IF('Zero Shot Run 4'!J34="","",'Zero Shot Run 4'!J34)</f>
        <v/>
      </c>
      <c r="H366" s="35" t="str">
        <f>IF('Zero Shot Run 5'!J34="","",'Zero Shot Run 5'!J34)</f>
        <v/>
      </c>
      <c r="I366" s="36" t="str">
        <f>IF(AND(D366=E366,E366=F366,F366=G366,G366=H366),"Yes","No")</f>
        <v>Yes</v>
      </c>
    </row>
    <row r="367" spans="1:9" x14ac:dyDescent="0.25">
      <c r="A367" s="27" t="str">
        <f>'Zero Shot Run 1'!D35</f>
        <v>Resource Allocation</v>
      </c>
      <c r="B367" s="28" t="str">
        <f>'Zero Shot Run 1'!E35</f>
        <v>RA3.3</v>
      </c>
      <c r="C367" s="29" t="str">
        <f>'Zero Shot Run 1'!F35</f>
        <v>Reduce Construction Water Consumption</v>
      </c>
      <c r="D367" s="30" t="str">
        <f>IF('Zero Shot Run 1'!J35="","",'Zero Shot Run 1'!J35)</f>
        <v/>
      </c>
      <c r="E367" s="30" t="str">
        <f>IF('Zero Shot Run 2'!J35="","",'Zero Shot Run 2'!J35)</f>
        <v/>
      </c>
      <c r="F367" s="30" t="str">
        <f>IF('Zero Shot Run 3'!J35="","",'Zero Shot Run 3'!J35)</f>
        <v/>
      </c>
      <c r="G367" s="30" t="str">
        <f>IF('Zero Shot Run 4'!J35="","",'Zero Shot Run 4'!J35)</f>
        <v/>
      </c>
      <c r="H367" s="30" t="str">
        <f>IF('Zero Shot Run 5'!J35="","",'Zero Shot Run 5'!J35)</f>
        <v/>
      </c>
      <c r="I367" s="31" t="str">
        <f>IF(AND(D367=E367,E367=F367,F367=G367,G367=H367),"Yes","No")</f>
        <v>Yes</v>
      </c>
    </row>
    <row r="368" spans="1:9" ht="15.75" thickBot="1" x14ac:dyDescent="0.3">
      <c r="A368" s="37" t="str">
        <f>'Zero Shot Run 1'!D36</f>
        <v>Resource Allocation</v>
      </c>
      <c r="B368" s="38" t="str">
        <f>'Zero Shot Run 1'!E36</f>
        <v>RA3.4</v>
      </c>
      <c r="C368" s="39" t="str">
        <f>'Zero Shot Run 1'!F36</f>
        <v>Monitor Water Systems</v>
      </c>
      <c r="D368" s="40" t="str">
        <f>IF('Zero Shot Run 1'!J36="","",'Zero Shot Run 1'!J36)</f>
        <v/>
      </c>
      <c r="E368" s="40" t="str">
        <f>IF('Zero Shot Run 2'!J36="","",'Zero Shot Run 2'!J36)</f>
        <v/>
      </c>
      <c r="F368" s="40" t="str">
        <f>IF('Zero Shot Run 3'!J36="","",'Zero Shot Run 3'!J36)</f>
        <v/>
      </c>
      <c r="G368" s="40" t="str">
        <f>IF('Zero Shot Run 4'!J36="","",'Zero Shot Run 4'!J36)</f>
        <v/>
      </c>
      <c r="H368" s="40" t="str">
        <f>IF('Zero Shot Run 5'!J36="","",'Zero Shot Run 5'!J36)</f>
        <v/>
      </c>
      <c r="I368" s="41" t="str">
        <f>IF(AND(D368=E368,E368=F368,F368=G368,G368=H368),"Yes","No")</f>
        <v>Yes</v>
      </c>
    </row>
    <row r="370" spans="1:9" x14ac:dyDescent="0.25">
      <c r="A370" s="20" t="s">
        <v>10</v>
      </c>
      <c r="B370" s="20"/>
      <c r="C370" s="20"/>
      <c r="D370" s="20"/>
      <c r="E370" s="20"/>
      <c r="F370" s="20"/>
      <c r="G370" s="20"/>
      <c r="H370" s="20"/>
      <c r="I370" s="20"/>
    </row>
    <row r="371" spans="1:9" ht="15.75" thickBot="1" x14ac:dyDescent="0.3">
      <c r="A371" s="21" t="s">
        <v>3</v>
      </c>
      <c r="B371" s="21" t="s">
        <v>4</v>
      </c>
      <c r="C371" s="21" t="s">
        <v>5</v>
      </c>
      <c r="D371" s="21" t="s">
        <v>1068</v>
      </c>
      <c r="E371" s="21" t="s">
        <v>1069</v>
      </c>
      <c r="F371" s="21" t="s">
        <v>1070</v>
      </c>
      <c r="G371" s="21" t="s">
        <v>1071</v>
      </c>
      <c r="H371" s="21" t="s">
        <v>1072</v>
      </c>
      <c r="I371" s="21" t="s">
        <v>1073</v>
      </c>
    </row>
    <row r="372" spans="1:9" x14ac:dyDescent="0.25">
      <c r="A372" s="22" t="str">
        <f>'Zero Shot Run 1'!D2</f>
        <v>Climate And Resilience</v>
      </c>
      <c r="B372" s="23" t="str">
        <f>'Zero Shot Run 1'!E2</f>
        <v>CR1.1</v>
      </c>
      <c r="C372" s="24" t="str">
        <f>'Zero Shot Run 1'!F2</f>
        <v>Reduce Net Embodied Carbon</v>
      </c>
      <c r="D372" s="23" t="str">
        <f>IF('Zero Shot Run 1'!K2="","",'Zero Shot Run 1'!K2)</f>
        <v/>
      </c>
      <c r="E372" s="23" t="str">
        <f>IF('Zero Shot Run 2'!K2="","",'Zero Shot Run 2'!K2)</f>
        <v/>
      </c>
      <c r="F372" s="23" t="str">
        <f>IF('Zero Shot Run 3'!K2="","",'Zero Shot Run 3'!K2)</f>
        <v/>
      </c>
      <c r="G372" s="23" t="str">
        <f>IF('Zero Shot Run 4'!K2="","",'Zero Shot Run 4'!K2)</f>
        <v/>
      </c>
      <c r="H372" s="23" t="str">
        <f>IF('Zero Shot Run 5'!K2="","",'Zero Shot Run 5'!K2)</f>
        <v/>
      </c>
      <c r="I372" s="26" t="str">
        <f>IF(AND(D372=E372,E372=F372,F372=G372,G372=H372),"Yes","No")</f>
        <v>Yes</v>
      </c>
    </row>
    <row r="373" spans="1:9" x14ac:dyDescent="0.25">
      <c r="A373" s="27" t="str">
        <f>'Zero Shot Run 1'!D3</f>
        <v>Climate And Resilience</v>
      </c>
      <c r="B373" s="28" t="str">
        <f>'Zero Shot Run 1'!E3</f>
        <v>CR1.2</v>
      </c>
      <c r="C373" s="29" t="str">
        <f>'Zero Shot Run 1'!F3</f>
        <v>Reduce Greenhouse Gas Emissions</v>
      </c>
      <c r="D373" s="28" t="str">
        <f>IF('Zero Shot Run 1'!K3="","",'Zero Shot Run 1'!K3)</f>
        <v/>
      </c>
      <c r="E373" s="28" t="str">
        <f>IF('Zero Shot Run 2'!K3="","",'Zero Shot Run 2'!K3)</f>
        <v/>
      </c>
      <c r="F373" s="28" t="str">
        <f>IF('Zero Shot Run 3'!K3="","",'Zero Shot Run 3'!K3)</f>
        <v/>
      </c>
      <c r="G373" s="28" t="str">
        <f>IF('Zero Shot Run 4'!K3="","",'Zero Shot Run 4'!K3)</f>
        <v/>
      </c>
      <c r="H373" s="28" t="str">
        <f>IF('Zero Shot Run 5'!K3="","",'Zero Shot Run 5'!K3)</f>
        <v/>
      </c>
      <c r="I373" s="31" t="str">
        <f>IF(AND(D373=E373,E373=F373,F373=G373,G373=H373),"Yes","No")</f>
        <v>Yes</v>
      </c>
    </row>
    <row r="374" spans="1:9" x14ac:dyDescent="0.25">
      <c r="A374" s="32" t="str">
        <f>'Zero Shot Run 1'!D4</f>
        <v>Climate And Resilience</v>
      </c>
      <c r="B374" s="33" t="str">
        <f>'Zero Shot Run 1'!E4</f>
        <v>CR1.3</v>
      </c>
      <c r="C374" s="34" t="str">
        <f>'Zero Shot Run 1'!F4</f>
        <v>Reduce Air Pollutant Emissions</v>
      </c>
      <c r="D374" s="33" t="str">
        <f>IF('Zero Shot Run 1'!K4="","",'Zero Shot Run 1'!K4)</f>
        <v/>
      </c>
      <c r="E374" s="33" t="str">
        <f>IF('Zero Shot Run 2'!K4="","",'Zero Shot Run 2'!K4)</f>
        <v/>
      </c>
      <c r="F374" s="33" t="str">
        <f>IF('Zero Shot Run 3'!K4="","",'Zero Shot Run 3'!K4)</f>
        <v/>
      </c>
      <c r="G374" s="33" t="str">
        <f>IF('Zero Shot Run 4'!K4="","",'Zero Shot Run 4'!K4)</f>
        <v/>
      </c>
      <c r="H374" s="33" t="str">
        <f>IF('Zero Shot Run 5'!K4="","",'Zero Shot Run 5'!K4)</f>
        <v/>
      </c>
      <c r="I374" s="36" t="str">
        <f>IF(AND(D374=E374,E374=F374,F374=G374,G374=H374),"Yes","No")</f>
        <v>Yes</v>
      </c>
    </row>
    <row r="375" spans="1:9" x14ac:dyDescent="0.25">
      <c r="A375" s="27" t="str">
        <f>'Zero Shot Run 1'!D5</f>
        <v>Climate And Resilience</v>
      </c>
      <c r="B375" s="28" t="str">
        <f>'Zero Shot Run 1'!E5</f>
        <v>CR2.1</v>
      </c>
      <c r="C375" s="29" t="str">
        <f>'Zero Shot Run 1'!F5</f>
        <v>Avoid Unsuitable Development</v>
      </c>
      <c r="D375" s="28" t="str">
        <f>IF('Zero Shot Run 1'!K5="","",'Zero Shot Run 1'!K5)</f>
        <v/>
      </c>
      <c r="E375" s="28" t="str">
        <f>IF('Zero Shot Run 2'!K5="","",'Zero Shot Run 2'!K5)</f>
        <v/>
      </c>
      <c r="F375" s="28" t="str">
        <f>IF('Zero Shot Run 3'!K5="","",'Zero Shot Run 3'!K5)</f>
        <v/>
      </c>
      <c r="G375" s="28" t="str">
        <f>IF('Zero Shot Run 4'!K5="","",'Zero Shot Run 4'!K5)</f>
        <v/>
      </c>
      <c r="H375" s="28" t="str">
        <f>IF('Zero Shot Run 5'!K5="","",'Zero Shot Run 5'!K5)</f>
        <v/>
      </c>
      <c r="I375" s="31" t="str">
        <f>IF(AND(D375=E375,E375=F375,F375=G375,G375=H375),"Yes","No")</f>
        <v>Yes</v>
      </c>
    </row>
    <row r="376" spans="1:9" x14ac:dyDescent="0.25">
      <c r="A376" s="32" t="str">
        <f>'Zero Shot Run 1'!D6</f>
        <v>Climate And Resilience</v>
      </c>
      <c r="B376" s="33" t="str">
        <f>'Zero Shot Run 1'!E6</f>
        <v>CR2.2</v>
      </c>
      <c r="C376" s="34" t="str">
        <f>'Zero Shot Run 1'!F6</f>
        <v>Assess Climate Change Vulnerability</v>
      </c>
      <c r="D376" s="33" t="str">
        <f>IF('Zero Shot Run 1'!K6="","",'Zero Shot Run 1'!K6)</f>
        <v/>
      </c>
      <c r="E376" s="33" t="str">
        <f>IF('Zero Shot Run 2'!K6="","",'Zero Shot Run 2'!K6)</f>
        <v/>
      </c>
      <c r="F376" s="33" t="str">
        <f>IF('Zero Shot Run 3'!K6="","",'Zero Shot Run 3'!K6)</f>
        <v/>
      </c>
      <c r="G376" s="33" t="str">
        <f>IF('Zero Shot Run 4'!K6="","",'Zero Shot Run 4'!K6)</f>
        <v/>
      </c>
      <c r="H376" s="33" t="str">
        <f>IF('Zero Shot Run 5'!K6="","",'Zero Shot Run 5'!K6)</f>
        <v/>
      </c>
      <c r="I376" s="36" t="str">
        <f>IF(AND(D376=E376,E376=F376,F376=G376,G376=H376),"Yes","No")</f>
        <v>Yes</v>
      </c>
    </row>
    <row r="377" spans="1:9" x14ac:dyDescent="0.25">
      <c r="A377" s="27" t="str">
        <f>'Zero Shot Run 1'!D7</f>
        <v>Climate And Resilience</v>
      </c>
      <c r="B377" s="28" t="str">
        <f>'Zero Shot Run 1'!E7</f>
        <v>CR2.3</v>
      </c>
      <c r="C377" s="29" t="str">
        <f>'Zero Shot Run 1'!F7</f>
        <v>Evaluate Risk and Resilience</v>
      </c>
      <c r="D377" s="28" t="str">
        <f>IF('Zero Shot Run 1'!K7="","",'Zero Shot Run 1'!K7)</f>
        <v/>
      </c>
      <c r="E377" s="28" t="str">
        <f>IF('Zero Shot Run 2'!K7="","",'Zero Shot Run 2'!K7)</f>
        <v/>
      </c>
      <c r="F377" s="28" t="str">
        <f>IF('Zero Shot Run 3'!K7="","",'Zero Shot Run 3'!K7)</f>
        <v/>
      </c>
      <c r="G377" s="28" t="str">
        <f>IF('Zero Shot Run 4'!K7="","",'Zero Shot Run 4'!K7)</f>
        <v/>
      </c>
      <c r="H377" s="28" t="str">
        <f>IF('Zero Shot Run 5'!K7="","",'Zero Shot Run 5'!K7)</f>
        <v/>
      </c>
      <c r="I377" s="31" t="str">
        <f>IF(AND(D377=E377,E377=F377,F377=G377,G377=H377),"Yes","No")</f>
        <v>Yes</v>
      </c>
    </row>
    <row r="378" spans="1:9" x14ac:dyDescent="0.25">
      <c r="A378" s="32" t="str">
        <f>'Zero Shot Run 1'!D8</f>
        <v>Climate And Resilience</v>
      </c>
      <c r="B378" s="33" t="str">
        <f>'Zero Shot Run 1'!E8</f>
        <v>CR2.4</v>
      </c>
      <c r="C378" s="34" t="str">
        <f>'Zero Shot Run 1'!F8</f>
        <v>Establish Resilience Goals and Strategies</v>
      </c>
      <c r="D378" s="33" t="str">
        <f>IF('Zero Shot Run 1'!K8="","",'Zero Shot Run 1'!K8)</f>
        <v/>
      </c>
      <c r="E378" s="33" t="str">
        <f>IF('Zero Shot Run 2'!K8="","",'Zero Shot Run 2'!K8)</f>
        <v/>
      </c>
      <c r="F378" s="33" t="str">
        <f>IF('Zero Shot Run 3'!K8="","",'Zero Shot Run 3'!K8)</f>
        <v/>
      </c>
      <c r="G378" s="33" t="str">
        <f>IF('Zero Shot Run 4'!K8="","",'Zero Shot Run 4'!K8)</f>
        <v/>
      </c>
      <c r="H378" s="33" t="str">
        <f>IF('Zero Shot Run 5'!K8="","",'Zero Shot Run 5'!K8)</f>
        <v/>
      </c>
      <c r="I378" s="36" t="str">
        <f>IF(AND(D378=E378,E378=F378,F378=G378,G378=H378),"Yes","No")</f>
        <v>Yes</v>
      </c>
    </row>
    <row r="379" spans="1:9" x14ac:dyDescent="0.25">
      <c r="A379" s="27" t="str">
        <f>'Zero Shot Run 1'!D9</f>
        <v>Climate And Resilience</v>
      </c>
      <c r="B379" s="28" t="str">
        <f>'Zero Shot Run 1'!E9</f>
        <v>CR2.5</v>
      </c>
      <c r="C379" s="29" t="str">
        <f>'Zero Shot Run 1'!F9</f>
        <v>Maximize Resilience</v>
      </c>
      <c r="D379" s="28" t="str">
        <f>IF('Zero Shot Run 1'!K9="","",'Zero Shot Run 1'!K9)</f>
        <v/>
      </c>
      <c r="E379" s="28" t="str">
        <f>IF('Zero Shot Run 2'!K9="","",'Zero Shot Run 2'!K9)</f>
        <v/>
      </c>
      <c r="F379" s="28" t="str">
        <f>IF('Zero Shot Run 3'!K9="","",'Zero Shot Run 3'!K9)</f>
        <v/>
      </c>
      <c r="G379" s="28" t="str">
        <f>IF('Zero Shot Run 4'!K9="","",'Zero Shot Run 4'!K9)</f>
        <v/>
      </c>
      <c r="H379" s="28" t="str">
        <f>IF('Zero Shot Run 5'!K9="","",'Zero Shot Run 5'!K9)</f>
        <v/>
      </c>
      <c r="I379" s="31" t="str">
        <f>IF(AND(D379=E379,E379=F379,F379=G379,G379=H379),"Yes","No")</f>
        <v>Yes</v>
      </c>
    </row>
    <row r="380" spans="1:9" x14ac:dyDescent="0.25">
      <c r="A380" s="32" t="str">
        <f>'Zero Shot Run 1'!D10</f>
        <v>Climate And Resilience</v>
      </c>
      <c r="B380" s="33" t="str">
        <f>'Zero Shot Run 1'!E10</f>
        <v>CR2.6</v>
      </c>
      <c r="C380" s="34" t="str">
        <f>'Zero Shot Run 1'!F10</f>
        <v>Improve Infrastructure Integration</v>
      </c>
      <c r="D380" s="33" t="str">
        <f>IF('Zero Shot Run 1'!K10="","",'Zero Shot Run 1'!K10)</f>
        <v/>
      </c>
      <c r="E380" s="33" t="str">
        <f>IF('Zero Shot Run 2'!K10="","",'Zero Shot Run 2'!K10)</f>
        <v/>
      </c>
      <c r="F380" s="33" t="str">
        <f>IF('Zero Shot Run 3'!K10="","",'Zero Shot Run 3'!K10)</f>
        <v/>
      </c>
      <c r="G380" s="33" t="str">
        <f>IF('Zero Shot Run 4'!K10="","",'Zero Shot Run 4'!K10)</f>
        <v/>
      </c>
      <c r="H380" s="33" t="str">
        <f>IF('Zero Shot Run 5'!K10="","",'Zero Shot Run 5'!K10)</f>
        <v/>
      </c>
      <c r="I380" s="36" t="str">
        <f>IF(AND(D380=E380,E380=F380,F380=G380,G380=H380),"Yes","No")</f>
        <v>Yes</v>
      </c>
    </row>
    <row r="381" spans="1:9" x14ac:dyDescent="0.25">
      <c r="A381" s="27" t="str">
        <f>'Zero Shot Run 1'!D11</f>
        <v>Leadership</v>
      </c>
      <c r="B381" s="28" t="str">
        <f>'Zero Shot Run 1'!E11</f>
        <v>LD1.1</v>
      </c>
      <c r="C381" s="29" t="str">
        <f>'Zero Shot Run 1'!F11</f>
        <v>Provide Effective Leadership and Commitment</v>
      </c>
      <c r="D381" s="28" t="str">
        <f>IF('Zero Shot Run 1'!K11="","",'Zero Shot Run 1'!K11)</f>
        <v/>
      </c>
      <c r="E381" s="28" t="str">
        <f>IF('Zero Shot Run 2'!K11="","",'Zero Shot Run 2'!K11)</f>
        <v/>
      </c>
      <c r="F381" s="28" t="str">
        <f>IF('Zero Shot Run 3'!K11="","",'Zero Shot Run 3'!K11)</f>
        <v/>
      </c>
      <c r="G381" s="28" t="str">
        <f>IF('Zero Shot Run 4'!K11="","",'Zero Shot Run 4'!K11)</f>
        <v/>
      </c>
      <c r="H381" s="28" t="str">
        <f>IF('Zero Shot Run 5'!K11="","",'Zero Shot Run 5'!K11)</f>
        <v/>
      </c>
      <c r="I381" s="31" t="str">
        <f>IF(AND(D381=E381,E381=F381,F381=G381,G381=H381),"Yes","No")</f>
        <v>Yes</v>
      </c>
    </row>
    <row r="382" spans="1:9" x14ac:dyDescent="0.25">
      <c r="A382" s="32" t="str">
        <f>'Zero Shot Run 1'!D12</f>
        <v>Leadership</v>
      </c>
      <c r="B382" s="33" t="str">
        <f>'Zero Shot Run 1'!E12</f>
        <v>LD1.2</v>
      </c>
      <c r="C382" s="34" t="str">
        <f>'Zero Shot Run 1'!F12</f>
        <v>Foster Collaboration and Teamwork</v>
      </c>
      <c r="D382" s="33" t="str">
        <f>IF('Zero Shot Run 1'!K12="","",'Zero Shot Run 1'!K12)</f>
        <v/>
      </c>
      <c r="E382" s="33" t="str">
        <f>IF('Zero Shot Run 2'!K12="","",'Zero Shot Run 2'!K12)</f>
        <v/>
      </c>
      <c r="F382" s="33" t="str">
        <f>IF('Zero Shot Run 3'!K12="","",'Zero Shot Run 3'!K12)</f>
        <v/>
      </c>
      <c r="G382" s="33" t="str">
        <f>IF('Zero Shot Run 4'!K12="","",'Zero Shot Run 4'!K12)</f>
        <v/>
      </c>
      <c r="H382" s="33" t="str">
        <f>IF('Zero Shot Run 5'!K12="","",'Zero Shot Run 5'!K12)</f>
        <v/>
      </c>
      <c r="I382" s="36" t="str">
        <f>IF(AND(D382=E382,E382=F382,F382=G382,G382=H382),"Yes","No")</f>
        <v>Yes</v>
      </c>
    </row>
    <row r="383" spans="1:9" x14ac:dyDescent="0.25">
      <c r="A383" s="27" t="str">
        <f>'Zero Shot Run 1'!D13</f>
        <v>Leadership</v>
      </c>
      <c r="B383" s="28" t="str">
        <f>'Zero Shot Run 1'!E13</f>
        <v>LD1.3</v>
      </c>
      <c r="C383" s="29" t="str">
        <f>'Zero Shot Run 1'!F13</f>
        <v>Provide for Stakeholder Involvement</v>
      </c>
      <c r="D383" s="28" t="str">
        <f>IF('Zero Shot Run 1'!K13="","",'Zero Shot Run 1'!K13)</f>
        <v/>
      </c>
      <c r="E383" s="28" t="str">
        <f>IF('Zero Shot Run 2'!K13="","",'Zero Shot Run 2'!K13)</f>
        <v/>
      </c>
      <c r="F383" s="28" t="str">
        <f>IF('Zero Shot Run 3'!K13="","",'Zero Shot Run 3'!K13)</f>
        <v/>
      </c>
      <c r="G383" s="28" t="str">
        <f>IF('Zero Shot Run 4'!K13="","",'Zero Shot Run 4'!K13)</f>
        <v/>
      </c>
      <c r="H383" s="28" t="str">
        <f>IF('Zero Shot Run 5'!K13="","",'Zero Shot Run 5'!K13)</f>
        <v/>
      </c>
      <c r="I383" s="31" t="str">
        <f>IF(AND(D383=E383,E383=F383,F383=G383,G383=H383),"Yes","No")</f>
        <v>Yes</v>
      </c>
    </row>
    <row r="384" spans="1:9" x14ac:dyDescent="0.25">
      <c r="A384" s="32" t="str">
        <f>'Zero Shot Run 1'!D14</f>
        <v>Leadership</v>
      </c>
      <c r="B384" s="33" t="str">
        <f>'Zero Shot Run 1'!E14</f>
        <v>LD1.4</v>
      </c>
      <c r="C384" s="34" t="str">
        <f>'Zero Shot Run 1'!F14</f>
        <v>Pursue Byproduct Synergies</v>
      </c>
      <c r="D384" s="33" t="str">
        <f>IF('Zero Shot Run 1'!K14="","",'Zero Shot Run 1'!K14)</f>
        <v/>
      </c>
      <c r="E384" s="33" t="str">
        <f>IF('Zero Shot Run 2'!K14="","",'Zero Shot Run 2'!K14)</f>
        <v/>
      </c>
      <c r="F384" s="33" t="str">
        <f>IF('Zero Shot Run 3'!K14="","",'Zero Shot Run 3'!K14)</f>
        <v/>
      </c>
      <c r="G384" s="33" t="str">
        <f>IF('Zero Shot Run 4'!K14="","",'Zero Shot Run 4'!K14)</f>
        <v/>
      </c>
      <c r="H384" s="33" t="str">
        <f>IF('Zero Shot Run 5'!K14="","",'Zero Shot Run 5'!K14)</f>
        <v/>
      </c>
      <c r="I384" s="36" t="str">
        <f>IF(AND(D384=E384,E384=F384,F384=G384,G384=H384),"Yes","No")</f>
        <v>Yes</v>
      </c>
    </row>
    <row r="385" spans="1:9" x14ac:dyDescent="0.25">
      <c r="A385" s="27" t="str">
        <f>'Zero Shot Run 1'!D15</f>
        <v>Leadership</v>
      </c>
      <c r="B385" s="28" t="str">
        <f>'Zero Shot Run 1'!E15</f>
        <v>LD2.1</v>
      </c>
      <c r="C385" s="29" t="str">
        <f>'Zero Shot Run 1'!F15</f>
        <v>Establish a Sustainability Management Plan</v>
      </c>
      <c r="D385" s="28" t="str">
        <f>IF('Zero Shot Run 1'!K15="","",'Zero Shot Run 1'!K15)</f>
        <v/>
      </c>
      <c r="E385" s="28" t="str">
        <f>IF('Zero Shot Run 2'!K15="","",'Zero Shot Run 2'!K15)</f>
        <v/>
      </c>
      <c r="F385" s="28" t="str">
        <f>IF('Zero Shot Run 3'!K15="","",'Zero Shot Run 3'!K15)</f>
        <v/>
      </c>
      <c r="G385" s="28" t="str">
        <f>IF('Zero Shot Run 4'!K15="","",'Zero Shot Run 4'!K15)</f>
        <v/>
      </c>
      <c r="H385" s="28" t="str">
        <f>IF('Zero Shot Run 5'!K15="","",'Zero Shot Run 5'!K15)</f>
        <v/>
      </c>
      <c r="I385" s="31" t="str">
        <f>IF(AND(D385=E385,E385=F385,F385=G385,G385=H385),"Yes","No")</f>
        <v>Yes</v>
      </c>
    </row>
    <row r="386" spans="1:9" x14ac:dyDescent="0.25">
      <c r="A386" s="32" t="str">
        <f>'Zero Shot Run 1'!D16</f>
        <v>Leadership</v>
      </c>
      <c r="B386" s="33" t="str">
        <f>'Zero Shot Run 1'!E16</f>
        <v>LD2.2</v>
      </c>
      <c r="C386" s="34" t="str">
        <f>'Zero Shot Run 1'!F16</f>
        <v>Plan for Sustainable Communities</v>
      </c>
      <c r="D386" s="33" t="str">
        <f>IF('Zero Shot Run 1'!K16="","",'Zero Shot Run 1'!K16)</f>
        <v/>
      </c>
      <c r="E386" s="33" t="str">
        <f>IF('Zero Shot Run 2'!K16="","",'Zero Shot Run 2'!K16)</f>
        <v/>
      </c>
      <c r="F386" s="33" t="str">
        <f>IF('Zero Shot Run 3'!K16="","",'Zero Shot Run 3'!K16)</f>
        <v/>
      </c>
      <c r="G386" s="33" t="str">
        <f>IF('Zero Shot Run 4'!K16="","",'Zero Shot Run 4'!K16)</f>
        <v/>
      </c>
      <c r="H386" s="33" t="str">
        <f>IF('Zero Shot Run 5'!K16="","",'Zero Shot Run 5'!K16)</f>
        <v/>
      </c>
      <c r="I386" s="36" t="str">
        <f>IF(AND(D386=E386,E386=F386,F386=G386,G386=H386),"Yes","No")</f>
        <v>Yes</v>
      </c>
    </row>
    <row r="387" spans="1:9" x14ac:dyDescent="0.25">
      <c r="A387" s="27" t="str">
        <f>'Zero Shot Run 1'!D17</f>
        <v>Leadership</v>
      </c>
      <c r="B387" s="28" t="str">
        <f>'Zero Shot Run 1'!E17</f>
        <v>LD2.3</v>
      </c>
      <c r="C387" s="29" t="str">
        <f>'Zero Shot Run 1'!F17</f>
        <v>Plan for Long-Term Monitoring and Maintenance</v>
      </c>
      <c r="D387" s="28" t="str">
        <f>IF('Zero Shot Run 1'!K17="","",'Zero Shot Run 1'!K17)</f>
        <v/>
      </c>
      <c r="E387" s="28" t="str">
        <f>IF('Zero Shot Run 2'!K17="","",'Zero Shot Run 2'!K17)</f>
        <v/>
      </c>
      <c r="F387" s="28" t="str">
        <f>IF('Zero Shot Run 3'!K17="","",'Zero Shot Run 3'!K17)</f>
        <v/>
      </c>
      <c r="G387" s="28" t="str">
        <f>IF('Zero Shot Run 4'!K17="","",'Zero Shot Run 4'!K17)</f>
        <v/>
      </c>
      <c r="H387" s="28" t="str">
        <f>IF('Zero Shot Run 5'!K17="","",'Zero Shot Run 5'!K17)</f>
        <v/>
      </c>
      <c r="I387" s="31" t="str">
        <f>IF(AND(D387=E387,E387=F387,F387=G387,G387=H387),"Yes","No")</f>
        <v>Yes</v>
      </c>
    </row>
    <row r="388" spans="1:9" x14ac:dyDescent="0.25">
      <c r="A388" s="32" t="str">
        <f>'Zero Shot Run 1'!D18</f>
        <v>Leadership</v>
      </c>
      <c r="B388" s="33" t="str">
        <f>'Zero Shot Run 1'!E18</f>
        <v>LD2.4</v>
      </c>
      <c r="C388" s="34" t="str">
        <f>'Zero Shot Run 1'!F18</f>
        <v>Plan for End-of-Life</v>
      </c>
      <c r="D388" s="33" t="str">
        <f>IF('Zero Shot Run 1'!K18="","",'Zero Shot Run 1'!K18)</f>
        <v/>
      </c>
      <c r="E388" s="33" t="str">
        <f>IF('Zero Shot Run 2'!K18="","",'Zero Shot Run 2'!K18)</f>
        <v/>
      </c>
      <c r="F388" s="33" t="str">
        <f>IF('Zero Shot Run 3'!K18="","",'Zero Shot Run 3'!K18)</f>
        <v/>
      </c>
      <c r="G388" s="33" t="str">
        <f>IF('Zero Shot Run 4'!K18="","",'Zero Shot Run 4'!K18)</f>
        <v/>
      </c>
      <c r="H388" s="33" t="str">
        <f>IF('Zero Shot Run 5'!K18="","",'Zero Shot Run 5'!K18)</f>
        <v/>
      </c>
      <c r="I388" s="36" t="str">
        <f>IF(AND(D388=E388,E388=F388,F388=G388,G388=H388),"Yes","No")</f>
        <v>Yes</v>
      </c>
    </row>
    <row r="389" spans="1:9" x14ac:dyDescent="0.25">
      <c r="A389" s="27" t="str">
        <f>'Zero Shot Run 1'!D19</f>
        <v>Leadership</v>
      </c>
      <c r="B389" s="28" t="str">
        <f>'Zero Shot Run 1'!E19</f>
        <v>LD3.1</v>
      </c>
      <c r="C389" s="29" t="str">
        <f>'Zero Shot Run 1'!F19</f>
        <v>Stimulate Economic Prosperity and Development</v>
      </c>
      <c r="D389" s="28" t="str">
        <f>IF('Zero Shot Run 1'!K19="","",'Zero Shot Run 1'!K19)</f>
        <v/>
      </c>
      <c r="E389" s="28" t="str">
        <f>IF('Zero Shot Run 2'!K19="","",'Zero Shot Run 2'!K19)</f>
        <v/>
      </c>
      <c r="F389" s="28" t="str">
        <f>IF('Zero Shot Run 3'!K19="","",'Zero Shot Run 3'!K19)</f>
        <v/>
      </c>
      <c r="G389" s="28" t="str">
        <f>IF('Zero Shot Run 4'!K19="","",'Zero Shot Run 4'!K19)</f>
        <v/>
      </c>
      <c r="H389" s="28" t="str">
        <f>IF('Zero Shot Run 5'!K19="","",'Zero Shot Run 5'!K19)</f>
        <v/>
      </c>
      <c r="I389" s="31" t="str">
        <f>IF(AND(D389=E389,E389=F389,F389=G389,G389=H389),"Yes","No")</f>
        <v>Yes</v>
      </c>
    </row>
    <row r="390" spans="1:9" x14ac:dyDescent="0.25">
      <c r="A390" s="32" t="str">
        <f>'Zero Shot Run 1'!D20</f>
        <v>Leadership</v>
      </c>
      <c r="B390" s="33" t="str">
        <f>'Zero Shot Run 1'!E20</f>
        <v>LD3.2</v>
      </c>
      <c r="C390" s="34" t="str">
        <f>'Zero Shot Run 1'!F20</f>
        <v>Develop Local Skills and Capabilities</v>
      </c>
      <c r="D390" s="33" t="str">
        <f>IF('Zero Shot Run 1'!K20="","",'Zero Shot Run 1'!K20)</f>
        <v/>
      </c>
      <c r="E390" s="33" t="str">
        <f>IF('Zero Shot Run 2'!K20="","",'Zero Shot Run 2'!K20)</f>
        <v/>
      </c>
      <c r="F390" s="33" t="str">
        <f>IF('Zero Shot Run 3'!K20="","",'Zero Shot Run 3'!K20)</f>
        <v/>
      </c>
      <c r="G390" s="33" t="str">
        <f>IF('Zero Shot Run 4'!K20="","",'Zero Shot Run 4'!K20)</f>
        <v/>
      </c>
      <c r="H390" s="33" t="str">
        <f>IF('Zero Shot Run 5'!K20="","",'Zero Shot Run 5'!K20)</f>
        <v/>
      </c>
      <c r="I390" s="36" t="str">
        <f>IF(AND(D390=E390,E390=F390,F390=G390,G390=H390),"Yes","No")</f>
        <v>Yes</v>
      </c>
    </row>
    <row r="391" spans="1:9" x14ac:dyDescent="0.25">
      <c r="A391" s="27" t="str">
        <f>'Zero Shot Run 1'!D21</f>
        <v>Leadership</v>
      </c>
      <c r="B391" s="28" t="str">
        <f>'Zero Shot Run 1'!E21</f>
        <v>LD3.3</v>
      </c>
      <c r="C391" s="29" t="str">
        <f>'Zero Shot Run 1'!F21</f>
        <v>Conduct a Life-Cycle Economic Evaluation</v>
      </c>
      <c r="D391" s="28" t="str">
        <f>IF('Zero Shot Run 1'!K21="","",'Zero Shot Run 1'!K21)</f>
        <v/>
      </c>
      <c r="E391" s="28" t="str">
        <f>IF('Zero Shot Run 2'!K21="","",'Zero Shot Run 2'!K21)</f>
        <v/>
      </c>
      <c r="F391" s="28" t="str">
        <f>IF('Zero Shot Run 3'!K21="","",'Zero Shot Run 3'!K21)</f>
        <v/>
      </c>
      <c r="G391" s="28" t="str">
        <f>IF('Zero Shot Run 4'!K21="","",'Zero Shot Run 4'!K21)</f>
        <v/>
      </c>
      <c r="H391" s="28" t="str">
        <f>IF('Zero Shot Run 5'!K21="","",'Zero Shot Run 5'!K21)</f>
        <v/>
      </c>
      <c r="I391" s="31" t="str">
        <f>IF(AND(D391=E391,E391=F391,F391=G391,G391=H391),"Yes","No")</f>
        <v>Yes</v>
      </c>
    </row>
    <row r="392" spans="1:9" x14ac:dyDescent="0.25">
      <c r="A392" s="32" t="str">
        <f>'Zero Shot Run 1'!D22</f>
        <v>Natural World</v>
      </c>
      <c r="B392" s="33">
        <f>'Zero Shot Run 1'!E22</f>
        <v>0</v>
      </c>
      <c r="C392" s="34">
        <f>'Zero Shot Run 1'!F22</f>
        <v>0</v>
      </c>
      <c r="D392" s="33" t="str">
        <f>IF('Zero Shot Run 1'!K22="","",'Zero Shot Run 1'!K22)</f>
        <v/>
      </c>
      <c r="E392" s="33" t="str">
        <f>IF('Zero Shot Run 2'!K22="","",'Zero Shot Run 2'!K22)</f>
        <v/>
      </c>
      <c r="F392" s="33" t="str">
        <f>IF('Zero Shot Run 3'!K22="","",'Zero Shot Run 3'!K22)</f>
        <v/>
      </c>
      <c r="G392" s="33" t="str">
        <f>IF('Zero Shot Run 4'!K22="","",'Zero Shot Run 4'!K22)</f>
        <v/>
      </c>
      <c r="H392" s="33" t="str">
        <f>IF('Zero Shot Run 5'!K22="","",'Zero Shot Run 5'!K22)</f>
        <v/>
      </c>
      <c r="I392" s="36" t="str">
        <f>IF(AND(D392=E392,E392=F392,F392=G392,G392=H392),"Yes","No")</f>
        <v>Yes</v>
      </c>
    </row>
    <row r="393" spans="1:9" x14ac:dyDescent="0.25">
      <c r="A393" s="27" t="str">
        <f>'Zero Shot Run 1'!D23</f>
        <v>Quality Of Life</v>
      </c>
      <c r="B393" s="28">
        <f>'Zero Shot Run 1'!E23</f>
        <v>0</v>
      </c>
      <c r="C393" s="29">
        <f>'Zero Shot Run 1'!F23</f>
        <v>0</v>
      </c>
      <c r="D393" s="28" t="str">
        <f>IF('Zero Shot Run 1'!K23="","",'Zero Shot Run 1'!K23)</f>
        <v/>
      </c>
      <c r="E393" s="28" t="str">
        <f>IF('Zero Shot Run 2'!K23="","",'Zero Shot Run 2'!K23)</f>
        <v/>
      </c>
      <c r="F393" s="28" t="str">
        <f>IF('Zero Shot Run 3'!K23="","",'Zero Shot Run 3'!K23)</f>
        <v/>
      </c>
      <c r="G393" s="28" t="str">
        <f>IF('Zero Shot Run 4'!K23="","",'Zero Shot Run 4'!K23)</f>
        <v/>
      </c>
      <c r="H393" s="28" t="str">
        <f>IF('Zero Shot Run 5'!K23="","",'Zero Shot Run 5'!K23)</f>
        <v/>
      </c>
      <c r="I393" s="31" t="str">
        <f>IF(AND(D393=E393,E393=F393,F393=G393,G393=H393),"Yes","No")</f>
        <v>Yes</v>
      </c>
    </row>
    <row r="394" spans="1:9" x14ac:dyDescent="0.25">
      <c r="A394" s="32" t="str">
        <f>'Zero Shot Run 1'!D24</f>
        <v>Resource Allocation</v>
      </c>
      <c r="B394" s="33" t="str">
        <f>'Zero Shot Run 1'!E24</f>
        <v>RA1.1</v>
      </c>
      <c r="C394" s="34" t="str">
        <f>'Zero Shot Run 1'!F24</f>
        <v>Support Sustainable Procurement Practices</v>
      </c>
      <c r="D394" s="33" t="str">
        <f>IF('Zero Shot Run 1'!K24="","",'Zero Shot Run 1'!K24)</f>
        <v/>
      </c>
      <c r="E394" s="33" t="str">
        <f>IF('Zero Shot Run 2'!K24="","",'Zero Shot Run 2'!K24)</f>
        <v/>
      </c>
      <c r="F394" s="33" t="str">
        <f>IF('Zero Shot Run 3'!K24="","",'Zero Shot Run 3'!K24)</f>
        <v/>
      </c>
      <c r="G394" s="33" t="str">
        <f>IF('Zero Shot Run 4'!K24="","",'Zero Shot Run 4'!K24)</f>
        <v/>
      </c>
      <c r="H394" s="33" t="str">
        <f>IF('Zero Shot Run 5'!K24="","",'Zero Shot Run 5'!K24)</f>
        <v/>
      </c>
      <c r="I394" s="36" t="str">
        <f>IF(AND(D394=E394,E394=F394,F394=G394,G394=H394),"Yes","No")</f>
        <v>Yes</v>
      </c>
    </row>
    <row r="395" spans="1:9" x14ac:dyDescent="0.25">
      <c r="A395" s="27" t="str">
        <f>'Zero Shot Run 1'!D25</f>
        <v>Resource Allocation</v>
      </c>
      <c r="B395" s="28" t="str">
        <f>'Zero Shot Run 1'!E25</f>
        <v>RA1.2</v>
      </c>
      <c r="C395" s="29" t="str">
        <f>'Zero Shot Run 1'!F25</f>
        <v>Use Recycled Materials</v>
      </c>
      <c r="D395" s="28" t="str">
        <f>IF('Zero Shot Run 1'!K25="","",'Zero Shot Run 1'!K25)</f>
        <v/>
      </c>
      <c r="E395" s="28" t="str">
        <f>IF('Zero Shot Run 2'!K25="","",'Zero Shot Run 2'!K25)</f>
        <v/>
      </c>
      <c r="F395" s="28" t="str">
        <f>IF('Zero Shot Run 3'!K25="","",'Zero Shot Run 3'!K25)</f>
        <v/>
      </c>
      <c r="G395" s="28" t="str">
        <f>IF('Zero Shot Run 4'!K25="","",'Zero Shot Run 4'!K25)</f>
        <v/>
      </c>
      <c r="H395" s="28" t="str">
        <f>IF('Zero Shot Run 5'!K25="","",'Zero Shot Run 5'!K25)</f>
        <v/>
      </c>
      <c r="I395" s="31" t="str">
        <f>IF(AND(D395=E395,E395=F395,F395=G395,G395=H395),"Yes","No")</f>
        <v>Yes</v>
      </c>
    </row>
    <row r="396" spans="1:9" x14ac:dyDescent="0.25">
      <c r="A396" s="32" t="str">
        <f>'Zero Shot Run 1'!D26</f>
        <v>Resource Allocation</v>
      </c>
      <c r="B396" s="33" t="str">
        <f>'Zero Shot Run 1'!E26</f>
        <v>RA1.3</v>
      </c>
      <c r="C396" s="34" t="str">
        <f>'Zero Shot Run 1'!F26</f>
        <v>Reduce Operational Waste</v>
      </c>
      <c r="D396" s="33" t="str">
        <f>IF('Zero Shot Run 1'!K26="","",'Zero Shot Run 1'!K26)</f>
        <v/>
      </c>
      <c r="E396" s="33" t="str">
        <f>IF('Zero Shot Run 2'!K26="","",'Zero Shot Run 2'!K26)</f>
        <v/>
      </c>
      <c r="F396" s="33" t="str">
        <f>IF('Zero Shot Run 3'!K26="","",'Zero Shot Run 3'!K26)</f>
        <v/>
      </c>
      <c r="G396" s="33" t="str">
        <f>IF('Zero Shot Run 4'!K26="","",'Zero Shot Run 4'!K26)</f>
        <v/>
      </c>
      <c r="H396" s="33" t="str">
        <f>IF('Zero Shot Run 5'!K26="","",'Zero Shot Run 5'!K26)</f>
        <v/>
      </c>
      <c r="I396" s="36" t="str">
        <f>IF(AND(D396=E396,E396=F396,F396=G396,G396=H396),"Yes","No")</f>
        <v>Yes</v>
      </c>
    </row>
    <row r="397" spans="1:9" x14ac:dyDescent="0.25">
      <c r="A397" s="27" t="str">
        <f>'Zero Shot Run 1'!D27</f>
        <v>Resource Allocation</v>
      </c>
      <c r="B397" s="28" t="str">
        <f>'Zero Shot Run 1'!E27</f>
        <v>RA1.4</v>
      </c>
      <c r="C397" s="29" t="str">
        <f>'Zero Shot Run 1'!F27</f>
        <v>Reduce Construction Waste</v>
      </c>
      <c r="D397" s="28" t="str">
        <f>IF('Zero Shot Run 1'!K27="","",'Zero Shot Run 1'!K27)</f>
        <v/>
      </c>
      <c r="E397" s="28" t="str">
        <f>IF('Zero Shot Run 2'!K27="","",'Zero Shot Run 2'!K27)</f>
        <v/>
      </c>
      <c r="F397" s="28" t="str">
        <f>IF('Zero Shot Run 3'!K27="","",'Zero Shot Run 3'!K27)</f>
        <v/>
      </c>
      <c r="G397" s="28" t="str">
        <f>IF('Zero Shot Run 4'!K27="","",'Zero Shot Run 4'!K27)</f>
        <v/>
      </c>
      <c r="H397" s="28" t="str">
        <f>IF('Zero Shot Run 5'!K27="","",'Zero Shot Run 5'!K27)</f>
        <v/>
      </c>
      <c r="I397" s="31" t="str">
        <f>IF(AND(D397=E397,E397=F397,F397=G397,G397=H397),"Yes","No")</f>
        <v>Yes</v>
      </c>
    </row>
    <row r="398" spans="1:9" x14ac:dyDescent="0.25">
      <c r="A398" s="32" t="str">
        <f>'Zero Shot Run 1'!D28</f>
        <v>Resource Allocation</v>
      </c>
      <c r="B398" s="33" t="str">
        <f>'Zero Shot Run 1'!E28</f>
        <v>RA1.5</v>
      </c>
      <c r="C398" s="34" t="str">
        <f>'Zero Shot Run 1'!F28</f>
        <v>Balance Earthwork On Site</v>
      </c>
      <c r="D398" s="33" t="str">
        <f>IF('Zero Shot Run 1'!K28="","",'Zero Shot Run 1'!K28)</f>
        <v/>
      </c>
      <c r="E398" s="33" t="str">
        <f>IF('Zero Shot Run 2'!K28="","",'Zero Shot Run 2'!K28)</f>
        <v/>
      </c>
      <c r="F398" s="33" t="str">
        <f>IF('Zero Shot Run 3'!K28="","",'Zero Shot Run 3'!K28)</f>
        <v/>
      </c>
      <c r="G398" s="33" t="str">
        <f>IF('Zero Shot Run 4'!K28="","",'Zero Shot Run 4'!K28)</f>
        <v/>
      </c>
      <c r="H398" s="33" t="str">
        <f>IF('Zero Shot Run 5'!K28="","",'Zero Shot Run 5'!K28)</f>
        <v/>
      </c>
      <c r="I398" s="36" t="str">
        <f>IF(AND(D398=E398,E398=F398,F398=G398,G398=H398),"Yes","No")</f>
        <v>Yes</v>
      </c>
    </row>
    <row r="399" spans="1:9" x14ac:dyDescent="0.25">
      <c r="A399" s="27" t="str">
        <f>'Zero Shot Run 1'!D29</f>
        <v>Resource Allocation</v>
      </c>
      <c r="B399" s="28" t="str">
        <f>'Zero Shot Run 1'!E29</f>
        <v>RA2.1</v>
      </c>
      <c r="C399" s="29" t="str">
        <f>'Zero Shot Run 1'!F29</f>
        <v>Reduce Operational Energy Consumption</v>
      </c>
      <c r="D399" s="28" t="str">
        <f>IF('Zero Shot Run 1'!K29="","",'Zero Shot Run 1'!K29)</f>
        <v/>
      </c>
      <c r="E399" s="28" t="str">
        <f>IF('Zero Shot Run 2'!K29="","",'Zero Shot Run 2'!K29)</f>
        <v/>
      </c>
      <c r="F399" s="28" t="str">
        <f>IF('Zero Shot Run 3'!K29="","",'Zero Shot Run 3'!K29)</f>
        <v/>
      </c>
      <c r="G399" s="28" t="str">
        <f>IF('Zero Shot Run 4'!K29="","",'Zero Shot Run 4'!K29)</f>
        <v/>
      </c>
      <c r="H399" s="28" t="str">
        <f>IF('Zero Shot Run 5'!K29="","",'Zero Shot Run 5'!K29)</f>
        <v/>
      </c>
      <c r="I399" s="31" t="str">
        <f>IF(AND(D399=E399,E399=F399,F399=G399,G399=H399),"Yes","No")</f>
        <v>Yes</v>
      </c>
    </row>
    <row r="400" spans="1:9" x14ac:dyDescent="0.25">
      <c r="A400" s="32" t="str">
        <f>'Zero Shot Run 1'!D30</f>
        <v>Resource Allocation</v>
      </c>
      <c r="B400" s="33" t="str">
        <f>'Zero Shot Run 1'!E30</f>
        <v>RA2.2</v>
      </c>
      <c r="C400" s="34" t="str">
        <f>'Zero Shot Run 1'!F30</f>
        <v>Reduce Construction Energy Consumption</v>
      </c>
      <c r="D400" s="33" t="str">
        <f>IF('Zero Shot Run 1'!K30="","",'Zero Shot Run 1'!K30)</f>
        <v/>
      </c>
      <c r="E400" s="33" t="str">
        <f>IF('Zero Shot Run 2'!K30="","",'Zero Shot Run 2'!K30)</f>
        <v/>
      </c>
      <c r="F400" s="33" t="str">
        <f>IF('Zero Shot Run 3'!K30="","",'Zero Shot Run 3'!K30)</f>
        <v/>
      </c>
      <c r="G400" s="33" t="str">
        <f>IF('Zero Shot Run 4'!K30="","",'Zero Shot Run 4'!K30)</f>
        <v/>
      </c>
      <c r="H400" s="33" t="str">
        <f>IF('Zero Shot Run 5'!K30="","",'Zero Shot Run 5'!K30)</f>
        <v/>
      </c>
      <c r="I400" s="36" t="str">
        <f>IF(AND(D400=E400,E400=F400,F400=G400,G400=H400),"Yes","No")</f>
        <v>Yes</v>
      </c>
    </row>
    <row r="401" spans="1:9" x14ac:dyDescent="0.25">
      <c r="A401" s="27" t="str">
        <f>'Zero Shot Run 1'!D31</f>
        <v>Resource Allocation</v>
      </c>
      <c r="B401" s="28" t="str">
        <f>'Zero Shot Run 1'!E31</f>
        <v>RA2.3</v>
      </c>
      <c r="C401" s="29" t="str">
        <f>'Zero Shot Run 1'!F31</f>
        <v>Use Renewable Energy</v>
      </c>
      <c r="D401" s="28" t="str">
        <f>IF('Zero Shot Run 1'!K31="","",'Zero Shot Run 1'!K31)</f>
        <v/>
      </c>
      <c r="E401" s="28" t="str">
        <f>IF('Zero Shot Run 2'!K31="","",'Zero Shot Run 2'!K31)</f>
        <v/>
      </c>
      <c r="F401" s="28" t="str">
        <f>IF('Zero Shot Run 3'!K31="","",'Zero Shot Run 3'!K31)</f>
        <v/>
      </c>
      <c r="G401" s="28" t="str">
        <f>IF('Zero Shot Run 4'!K31="","",'Zero Shot Run 4'!K31)</f>
        <v/>
      </c>
      <c r="H401" s="28" t="str">
        <f>IF('Zero Shot Run 5'!K31="","",'Zero Shot Run 5'!K31)</f>
        <v/>
      </c>
      <c r="I401" s="31" t="str">
        <f>IF(AND(D401=E401,E401=F401,F401=G401,G401=H401),"Yes","No")</f>
        <v>Yes</v>
      </c>
    </row>
    <row r="402" spans="1:9" x14ac:dyDescent="0.25">
      <c r="A402" s="32" t="str">
        <f>'Zero Shot Run 1'!D32</f>
        <v>Resource Allocation</v>
      </c>
      <c r="B402" s="33" t="str">
        <f>'Zero Shot Run 1'!E32</f>
        <v>RA2.4</v>
      </c>
      <c r="C402" s="34" t="str">
        <f>'Zero Shot Run 1'!F32</f>
        <v>Commission and Monitor Energy Systems</v>
      </c>
      <c r="D402" s="33" t="str">
        <f>IF('Zero Shot Run 1'!K32="","",'Zero Shot Run 1'!K32)</f>
        <v/>
      </c>
      <c r="E402" s="33" t="str">
        <f>IF('Zero Shot Run 2'!K32="","",'Zero Shot Run 2'!K32)</f>
        <v/>
      </c>
      <c r="F402" s="33" t="str">
        <f>IF('Zero Shot Run 3'!K32="","",'Zero Shot Run 3'!K32)</f>
        <v/>
      </c>
      <c r="G402" s="33" t="str">
        <f>IF('Zero Shot Run 4'!K32="","",'Zero Shot Run 4'!K32)</f>
        <v/>
      </c>
      <c r="H402" s="33" t="str">
        <f>IF('Zero Shot Run 5'!K32="","",'Zero Shot Run 5'!K32)</f>
        <v/>
      </c>
      <c r="I402" s="36" t="str">
        <f>IF(AND(D402=E402,E402=F402,F402=G402,G402=H402),"Yes","No")</f>
        <v>Yes</v>
      </c>
    </row>
    <row r="403" spans="1:9" x14ac:dyDescent="0.25">
      <c r="A403" s="27" t="str">
        <f>'Zero Shot Run 1'!D33</f>
        <v>Resource Allocation</v>
      </c>
      <c r="B403" s="28" t="str">
        <f>'Zero Shot Run 1'!E33</f>
        <v>RA3.1</v>
      </c>
      <c r="C403" s="29" t="str">
        <f>'Zero Shot Run 1'!F33</f>
        <v>Preserve Water Resources</v>
      </c>
      <c r="D403" s="28" t="str">
        <f>IF('Zero Shot Run 1'!K33="","",'Zero Shot Run 1'!K33)</f>
        <v/>
      </c>
      <c r="E403" s="28" t="str">
        <f>IF('Zero Shot Run 2'!K33="","",'Zero Shot Run 2'!K33)</f>
        <v/>
      </c>
      <c r="F403" s="28" t="str">
        <f>IF('Zero Shot Run 3'!K33="","",'Zero Shot Run 3'!K33)</f>
        <v/>
      </c>
      <c r="G403" s="28" t="str">
        <f>IF('Zero Shot Run 4'!K33="","",'Zero Shot Run 4'!K33)</f>
        <v/>
      </c>
      <c r="H403" s="28" t="str">
        <f>IF('Zero Shot Run 5'!K33="","",'Zero Shot Run 5'!K33)</f>
        <v/>
      </c>
      <c r="I403" s="31" t="str">
        <f>IF(AND(D403=E403,E403=F403,F403=G403,G403=H403),"Yes","No")</f>
        <v>Yes</v>
      </c>
    </row>
    <row r="404" spans="1:9" x14ac:dyDescent="0.25">
      <c r="A404" s="32" t="str">
        <f>'Zero Shot Run 1'!D34</f>
        <v>Resource Allocation</v>
      </c>
      <c r="B404" s="33" t="str">
        <f>'Zero Shot Run 1'!E34</f>
        <v>RA3.2</v>
      </c>
      <c r="C404" s="34" t="str">
        <f>'Zero Shot Run 1'!F34</f>
        <v>Reduce Operational Water Consumption</v>
      </c>
      <c r="D404" s="33" t="str">
        <f>IF('Zero Shot Run 1'!K34="","",'Zero Shot Run 1'!K34)</f>
        <v/>
      </c>
      <c r="E404" s="33" t="str">
        <f>IF('Zero Shot Run 2'!K34="","",'Zero Shot Run 2'!K34)</f>
        <v/>
      </c>
      <c r="F404" s="33" t="str">
        <f>IF('Zero Shot Run 3'!K34="","",'Zero Shot Run 3'!K34)</f>
        <v/>
      </c>
      <c r="G404" s="33" t="str">
        <f>IF('Zero Shot Run 4'!K34="","",'Zero Shot Run 4'!K34)</f>
        <v/>
      </c>
      <c r="H404" s="33" t="str">
        <f>IF('Zero Shot Run 5'!K34="","",'Zero Shot Run 5'!K34)</f>
        <v/>
      </c>
      <c r="I404" s="36" t="str">
        <f>IF(AND(D404=E404,E404=F404,F404=G404,G404=H404),"Yes","No")</f>
        <v>Yes</v>
      </c>
    </row>
    <row r="405" spans="1:9" x14ac:dyDescent="0.25">
      <c r="A405" s="27" t="str">
        <f>'Zero Shot Run 1'!D35</f>
        <v>Resource Allocation</v>
      </c>
      <c r="B405" s="28" t="str">
        <f>'Zero Shot Run 1'!E35</f>
        <v>RA3.3</v>
      </c>
      <c r="C405" s="29" t="str">
        <f>'Zero Shot Run 1'!F35</f>
        <v>Reduce Construction Water Consumption</v>
      </c>
      <c r="D405" s="28" t="str">
        <f>IF('Zero Shot Run 1'!K35="","",'Zero Shot Run 1'!K35)</f>
        <v/>
      </c>
      <c r="E405" s="28" t="str">
        <f>IF('Zero Shot Run 2'!K35="","",'Zero Shot Run 2'!K35)</f>
        <v/>
      </c>
      <c r="F405" s="28" t="str">
        <f>IF('Zero Shot Run 3'!K35="","",'Zero Shot Run 3'!K35)</f>
        <v/>
      </c>
      <c r="G405" s="28" t="str">
        <f>IF('Zero Shot Run 4'!K35="","",'Zero Shot Run 4'!K35)</f>
        <v/>
      </c>
      <c r="H405" s="28" t="str">
        <f>IF('Zero Shot Run 5'!K35="","",'Zero Shot Run 5'!K35)</f>
        <v/>
      </c>
      <c r="I405" s="31" t="str">
        <f>IF(AND(D405=E405,E405=F405,F405=G405,G405=H405),"Yes","No")</f>
        <v>Yes</v>
      </c>
    </row>
    <row r="406" spans="1:9" ht="15.75" thickBot="1" x14ac:dyDescent="0.3">
      <c r="A406" s="37" t="str">
        <f>'Zero Shot Run 1'!D36</f>
        <v>Resource Allocation</v>
      </c>
      <c r="B406" s="38" t="str">
        <f>'Zero Shot Run 1'!E36</f>
        <v>RA3.4</v>
      </c>
      <c r="C406" s="39" t="str">
        <f>'Zero Shot Run 1'!F36</f>
        <v>Monitor Water Systems</v>
      </c>
      <c r="D406" s="38" t="str">
        <f>IF('Zero Shot Run 1'!K36="","",'Zero Shot Run 1'!K36)</f>
        <v/>
      </c>
      <c r="E406" s="38" t="str">
        <f>IF('Zero Shot Run 2'!K36="","",'Zero Shot Run 2'!K36)</f>
        <v/>
      </c>
      <c r="F406" s="38" t="str">
        <f>IF('Zero Shot Run 3'!K36="","",'Zero Shot Run 3'!K36)</f>
        <v/>
      </c>
      <c r="G406" s="38" t="str">
        <f>IF('Zero Shot Run 4'!K36="","",'Zero Shot Run 4'!K36)</f>
        <v/>
      </c>
      <c r="H406" s="38" t="str">
        <f>IF('Zero Shot Run 5'!K36="","",'Zero Shot Run 5'!K36)</f>
        <v/>
      </c>
      <c r="I406" s="41" t="str">
        <f>IF(AND(D406=E406,E406=F406,F406=G406,G406=H406),"Yes","No")</f>
        <v>Yes</v>
      </c>
    </row>
    <row r="408" spans="1:9" x14ac:dyDescent="0.25">
      <c r="A408" s="20" t="s">
        <v>11</v>
      </c>
      <c r="B408" s="20"/>
      <c r="C408" s="20"/>
      <c r="D408" s="20"/>
      <c r="E408" s="20"/>
      <c r="F408" s="20"/>
      <c r="G408" s="20"/>
      <c r="H408" s="20"/>
      <c r="I408" s="20"/>
    </row>
    <row r="409" spans="1:9" ht="15.75" thickBot="1" x14ac:dyDescent="0.3">
      <c r="A409" s="21" t="s">
        <v>3</v>
      </c>
      <c r="B409" s="21" t="s">
        <v>4</v>
      </c>
      <c r="C409" s="21" t="s">
        <v>5</v>
      </c>
      <c r="D409" s="21" t="s">
        <v>1068</v>
      </c>
      <c r="E409" s="21" t="s">
        <v>1069</v>
      </c>
      <c r="F409" s="21" t="s">
        <v>1070</v>
      </c>
      <c r="G409" s="21" t="s">
        <v>1071</v>
      </c>
      <c r="H409" s="21" t="s">
        <v>1072</v>
      </c>
      <c r="I409" s="21" t="s">
        <v>1073</v>
      </c>
    </row>
    <row r="410" spans="1:9" x14ac:dyDescent="0.25">
      <c r="A410" s="22" t="str">
        <f>'Zero Shot Run 1'!D2</f>
        <v>Climate And Resilience</v>
      </c>
      <c r="B410" s="23" t="str">
        <f>'Zero Shot Run 1'!E2</f>
        <v>CR1.1</v>
      </c>
      <c r="C410" s="24" t="str">
        <f>'Zero Shot Run 1'!F2</f>
        <v>Reduce Net Embodied Carbon</v>
      </c>
      <c r="D410" s="13" t="str">
        <f>IF('Zero Shot Run 1'!L2="","",'Zero Shot Run 1'!L2)</f>
        <v/>
      </c>
      <c r="E410" s="13" t="str">
        <f>IF('Zero Shot Run 2'!L2="","",'Zero Shot Run 2'!L2)</f>
        <v/>
      </c>
      <c r="F410" s="13" t="str">
        <f>IF('Zero Shot Run 3'!L2="","",'Zero Shot Run 3'!L2)</f>
        <v/>
      </c>
      <c r="G410" s="13" t="str">
        <f>IF('Zero Shot Run 4'!L2="","",'Zero Shot Run 4'!L2)</f>
        <v/>
      </c>
      <c r="H410" s="13" t="str">
        <f>IF('Zero Shot Run 5'!L2="","",'Zero Shot Run 5'!L2)</f>
        <v/>
      </c>
      <c r="I410" s="26" t="str">
        <f>IF(AND(D410=E410,E410=F410,F410=G410,G410=H410),"Yes","No")</f>
        <v>Yes</v>
      </c>
    </row>
    <row r="411" spans="1:9" x14ac:dyDescent="0.25">
      <c r="A411" s="27" t="str">
        <f>'Zero Shot Run 1'!D3</f>
        <v>Climate And Resilience</v>
      </c>
      <c r="B411" s="28" t="str">
        <f>'Zero Shot Run 1'!E3</f>
        <v>CR1.2</v>
      </c>
      <c r="C411" s="29" t="str">
        <f>'Zero Shot Run 1'!F3</f>
        <v>Reduce Greenhouse Gas Emissions</v>
      </c>
      <c r="D411" s="14" t="str">
        <f>IF('Zero Shot Run 1'!L3="","",'Zero Shot Run 1'!L3)</f>
        <v/>
      </c>
      <c r="E411" s="14" t="str">
        <f>IF('Zero Shot Run 2'!L3="","",'Zero Shot Run 2'!L3)</f>
        <v/>
      </c>
      <c r="F411" s="14" t="str">
        <f>IF('Zero Shot Run 3'!L3="","",'Zero Shot Run 3'!L3)</f>
        <v/>
      </c>
      <c r="G411" s="14" t="str">
        <f>IF('Zero Shot Run 4'!L3="","",'Zero Shot Run 4'!L3)</f>
        <v/>
      </c>
      <c r="H411" s="14" t="str">
        <f>IF('Zero Shot Run 5'!L3="","",'Zero Shot Run 5'!L3)</f>
        <v/>
      </c>
      <c r="I411" s="31" t="str">
        <f>IF(AND(D411=E411,E411=F411,F411=G411,G411=H411),"Yes","No")</f>
        <v>Yes</v>
      </c>
    </row>
    <row r="412" spans="1:9" x14ac:dyDescent="0.25">
      <c r="A412" s="32" t="str">
        <f>'Zero Shot Run 1'!D4</f>
        <v>Climate And Resilience</v>
      </c>
      <c r="B412" s="33" t="str">
        <f>'Zero Shot Run 1'!E4</f>
        <v>CR1.3</v>
      </c>
      <c r="C412" s="34" t="str">
        <f>'Zero Shot Run 1'!F4</f>
        <v>Reduce Air Pollutant Emissions</v>
      </c>
      <c r="D412" s="15" t="str">
        <f>IF('Zero Shot Run 1'!L4="","",'Zero Shot Run 1'!L4)</f>
        <v/>
      </c>
      <c r="E412" s="15" t="str">
        <f>IF('Zero Shot Run 2'!L4="","",'Zero Shot Run 2'!L4)</f>
        <v/>
      </c>
      <c r="F412" s="15" t="str">
        <f>IF('Zero Shot Run 3'!L4="","",'Zero Shot Run 3'!L4)</f>
        <v/>
      </c>
      <c r="G412" s="15" t="str">
        <f>IF('Zero Shot Run 4'!L4="","",'Zero Shot Run 4'!L4)</f>
        <v/>
      </c>
      <c r="H412" s="15" t="str">
        <f>IF('Zero Shot Run 5'!L4="","",'Zero Shot Run 5'!L4)</f>
        <v/>
      </c>
      <c r="I412" s="36" t="str">
        <f>IF(AND(D412=E412,E412=F412,F412=G412,G412=H412),"Yes","No")</f>
        <v>Yes</v>
      </c>
    </row>
    <row r="413" spans="1:9" x14ac:dyDescent="0.25">
      <c r="A413" s="27" t="str">
        <f>'Zero Shot Run 1'!D5</f>
        <v>Climate And Resilience</v>
      </c>
      <c r="B413" s="28" t="str">
        <f>'Zero Shot Run 1'!E5</f>
        <v>CR2.1</v>
      </c>
      <c r="C413" s="29" t="str">
        <f>'Zero Shot Run 1'!F5</f>
        <v>Avoid Unsuitable Development</v>
      </c>
      <c r="D413" s="14" t="str">
        <f>IF('Zero Shot Run 1'!L5="","",'Zero Shot Run 1'!L5)</f>
        <v/>
      </c>
      <c r="E413" s="14" t="str">
        <f>IF('Zero Shot Run 2'!L5="","",'Zero Shot Run 2'!L5)</f>
        <v/>
      </c>
      <c r="F413" s="14" t="str">
        <f>IF('Zero Shot Run 3'!L5="","",'Zero Shot Run 3'!L5)</f>
        <v/>
      </c>
      <c r="G413" s="14" t="str">
        <f>IF('Zero Shot Run 4'!L5="","",'Zero Shot Run 4'!L5)</f>
        <v/>
      </c>
      <c r="H413" s="14" t="str">
        <f>IF('Zero Shot Run 5'!L5="","",'Zero Shot Run 5'!L5)</f>
        <v/>
      </c>
      <c r="I413" s="31" t="str">
        <f>IF(AND(D413=E413,E413=F413,F413=G413,G413=H413),"Yes","No")</f>
        <v>Yes</v>
      </c>
    </row>
    <row r="414" spans="1:9" x14ac:dyDescent="0.25">
      <c r="A414" s="32" t="str">
        <f>'Zero Shot Run 1'!D6</f>
        <v>Climate And Resilience</v>
      </c>
      <c r="B414" s="33" t="str">
        <f>'Zero Shot Run 1'!E6</f>
        <v>CR2.2</v>
      </c>
      <c r="C414" s="34" t="str">
        <f>'Zero Shot Run 1'!F6</f>
        <v>Assess Climate Change Vulnerability</v>
      </c>
      <c r="D414" s="15" t="str">
        <f>IF('Zero Shot Run 1'!L6="","",'Zero Shot Run 1'!L6)</f>
        <v/>
      </c>
      <c r="E414" s="15" t="str">
        <f>IF('Zero Shot Run 2'!L6="","",'Zero Shot Run 2'!L6)</f>
        <v/>
      </c>
      <c r="F414" s="15" t="str">
        <f>IF('Zero Shot Run 3'!L6="","",'Zero Shot Run 3'!L6)</f>
        <v/>
      </c>
      <c r="G414" s="15" t="str">
        <f>IF('Zero Shot Run 4'!L6="","",'Zero Shot Run 4'!L6)</f>
        <v/>
      </c>
      <c r="H414" s="15" t="str">
        <f>IF('Zero Shot Run 5'!L6="","",'Zero Shot Run 5'!L6)</f>
        <v/>
      </c>
      <c r="I414" s="36" t="str">
        <f>IF(AND(D414=E414,E414=F414,F414=G414,G414=H414),"Yes","No")</f>
        <v>Yes</v>
      </c>
    </row>
    <row r="415" spans="1:9" x14ac:dyDescent="0.25">
      <c r="A415" s="27" t="str">
        <f>'Zero Shot Run 1'!D7</f>
        <v>Climate And Resilience</v>
      </c>
      <c r="B415" s="28" t="str">
        <f>'Zero Shot Run 1'!E7</f>
        <v>CR2.3</v>
      </c>
      <c r="C415" s="29" t="str">
        <f>'Zero Shot Run 1'!F7</f>
        <v>Evaluate Risk and Resilience</v>
      </c>
      <c r="D415" s="14" t="str">
        <f>IF('Zero Shot Run 1'!L7="","",'Zero Shot Run 1'!L7)</f>
        <v/>
      </c>
      <c r="E415" s="14" t="str">
        <f>IF('Zero Shot Run 2'!L7="","",'Zero Shot Run 2'!L7)</f>
        <v/>
      </c>
      <c r="F415" s="14" t="str">
        <f>IF('Zero Shot Run 3'!L7="","",'Zero Shot Run 3'!L7)</f>
        <v/>
      </c>
      <c r="G415" s="14" t="str">
        <f>IF('Zero Shot Run 4'!L7="","",'Zero Shot Run 4'!L7)</f>
        <v/>
      </c>
      <c r="H415" s="14" t="str">
        <f>IF('Zero Shot Run 5'!L7="","",'Zero Shot Run 5'!L7)</f>
        <v/>
      </c>
      <c r="I415" s="31" t="str">
        <f>IF(AND(D415=E415,E415=F415,F415=G415,G415=H415),"Yes","No")</f>
        <v>Yes</v>
      </c>
    </row>
    <row r="416" spans="1:9" x14ac:dyDescent="0.25">
      <c r="A416" s="32" t="str">
        <f>'Zero Shot Run 1'!D8</f>
        <v>Climate And Resilience</v>
      </c>
      <c r="B416" s="33" t="str">
        <f>'Zero Shot Run 1'!E8</f>
        <v>CR2.4</v>
      </c>
      <c r="C416" s="34" t="str">
        <f>'Zero Shot Run 1'!F8</f>
        <v>Establish Resilience Goals and Strategies</v>
      </c>
      <c r="D416" s="15" t="str">
        <f>IF('Zero Shot Run 1'!L8="","",'Zero Shot Run 1'!L8)</f>
        <v/>
      </c>
      <c r="E416" s="15" t="str">
        <f>IF('Zero Shot Run 2'!L8="","",'Zero Shot Run 2'!L8)</f>
        <v/>
      </c>
      <c r="F416" s="15" t="str">
        <f>IF('Zero Shot Run 3'!L8="","",'Zero Shot Run 3'!L8)</f>
        <v/>
      </c>
      <c r="G416" s="15" t="str">
        <f>IF('Zero Shot Run 4'!L8="","",'Zero Shot Run 4'!L8)</f>
        <v/>
      </c>
      <c r="H416" s="15" t="str">
        <f>IF('Zero Shot Run 5'!L8="","",'Zero Shot Run 5'!L8)</f>
        <v/>
      </c>
      <c r="I416" s="36" t="str">
        <f>IF(AND(D416=E416,E416=F416,F416=G416,G416=H416),"Yes","No")</f>
        <v>Yes</v>
      </c>
    </row>
    <row r="417" spans="1:9" x14ac:dyDescent="0.25">
      <c r="A417" s="27" t="str">
        <f>'Zero Shot Run 1'!D9</f>
        <v>Climate And Resilience</v>
      </c>
      <c r="B417" s="28" t="str">
        <f>'Zero Shot Run 1'!E9</f>
        <v>CR2.5</v>
      </c>
      <c r="C417" s="29" t="str">
        <f>'Zero Shot Run 1'!F9</f>
        <v>Maximize Resilience</v>
      </c>
      <c r="D417" s="14" t="str">
        <f>IF('Zero Shot Run 1'!L9="","",'Zero Shot Run 1'!L9)</f>
        <v/>
      </c>
      <c r="E417" s="14" t="str">
        <f>IF('Zero Shot Run 2'!L9="","",'Zero Shot Run 2'!L9)</f>
        <v/>
      </c>
      <c r="F417" s="14" t="str">
        <f>IF('Zero Shot Run 3'!L9="","",'Zero Shot Run 3'!L9)</f>
        <v/>
      </c>
      <c r="G417" s="14" t="str">
        <f>IF('Zero Shot Run 4'!L9="","",'Zero Shot Run 4'!L9)</f>
        <v/>
      </c>
      <c r="H417" s="14" t="str">
        <f>IF('Zero Shot Run 5'!L9="","",'Zero Shot Run 5'!L9)</f>
        <v/>
      </c>
      <c r="I417" s="31" t="str">
        <f>IF(AND(D417=E417,E417=F417,F417=G417,G417=H417),"Yes","No")</f>
        <v>Yes</v>
      </c>
    </row>
    <row r="418" spans="1:9" x14ac:dyDescent="0.25">
      <c r="A418" s="32" t="str">
        <f>'Zero Shot Run 1'!D10</f>
        <v>Climate And Resilience</v>
      </c>
      <c r="B418" s="33" t="str">
        <f>'Zero Shot Run 1'!E10</f>
        <v>CR2.6</v>
      </c>
      <c r="C418" s="34" t="str">
        <f>'Zero Shot Run 1'!F10</f>
        <v>Improve Infrastructure Integration</v>
      </c>
      <c r="D418" s="15" t="str">
        <f>IF('Zero Shot Run 1'!L10="","",'Zero Shot Run 1'!L10)</f>
        <v/>
      </c>
      <c r="E418" s="15" t="str">
        <f>IF('Zero Shot Run 2'!L10="","",'Zero Shot Run 2'!L10)</f>
        <v/>
      </c>
      <c r="F418" s="15" t="str">
        <f>IF('Zero Shot Run 3'!L10="","",'Zero Shot Run 3'!L10)</f>
        <v/>
      </c>
      <c r="G418" s="15" t="str">
        <f>IF('Zero Shot Run 4'!L10="","",'Zero Shot Run 4'!L10)</f>
        <v/>
      </c>
      <c r="H418" s="15" t="str">
        <f>IF('Zero Shot Run 5'!L10="","",'Zero Shot Run 5'!L10)</f>
        <v/>
      </c>
      <c r="I418" s="36" t="str">
        <f>IF(AND(D418=E418,E418=F418,F418=G418,G418=H418),"Yes","No")</f>
        <v>Yes</v>
      </c>
    </row>
    <row r="419" spans="1:9" ht="45" x14ac:dyDescent="0.25">
      <c r="A419" s="27" t="str">
        <f>'Zero Shot Run 1'!D11</f>
        <v>Leadership</v>
      </c>
      <c r="B419" s="28" t="str">
        <f>'Zero Shot Run 1'!E11</f>
        <v>LD1.1</v>
      </c>
      <c r="C419" s="29" t="str">
        <f>'Zero Shot Run 1'!F11</f>
        <v>Provide Effective Leadership and Commitment</v>
      </c>
      <c r="D419" s="14" t="str">
        <f>IF('Zero Shot Run 1'!L11="","",'Zero Shot Run 1'!L11)</f>
        <v/>
      </c>
      <c r="E419" s="14" t="str">
        <f>IF('Zero Shot Run 2'!L11="","",'Zero Shot Run 2'!L11)</f>
        <v/>
      </c>
      <c r="F419" s="14" t="str">
        <f>IF('Zero Shot Run 3'!L11="","",'Zero Shot Run 3'!L11)</f>
        <v>The project team has made written commitments to address social, environmental, and economic aspects of the project.</v>
      </c>
      <c r="G419" s="14" t="str">
        <f>IF('Zero Shot Run 4'!L11="","",'Zero Shot Run 4'!L11)</f>
        <v/>
      </c>
      <c r="H419" s="14" t="str">
        <f>IF('Zero Shot Run 5'!L11="","",'Zero Shot Run 5'!L11)</f>
        <v/>
      </c>
      <c r="I419" s="31" t="str">
        <f>IF(AND(D419=E419,E419=F419,F419=G419,G419=H419),"Yes","No")</f>
        <v>No</v>
      </c>
    </row>
    <row r="420" spans="1:9" ht="45" x14ac:dyDescent="0.25">
      <c r="A420" s="32" t="str">
        <f>'Zero Shot Run 1'!D12</f>
        <v>Leadership</v>
      </c>
      <c r="B420" s="33" t="str">
        <f>'Zero Shot Run 1'!E12</f>
        <v>LD1.2</v>
      </c>
      <c r="C420" s="34" t="str">
        <f>'Zero Shot Run 1'!F12</f>
        <v>Foster Collaboration and Teamwork</v>
      </c>
      <c r="D420" s="15" t="str">
        <f>IF('Zero Shot Run 1'!L12="","",'Zero Shot Run 1'!L12)</f>
        <v/>
      </c>
      <c r="E420" s="15" t="str">
        <f>IF('Zero Shot Run 2'!L12="","",'Zero Shot Run 2'!L12)</f>
        <v/>
      </c>
      <c r="F420" s="15" t="str">
        <f>IF('Zero Shot Run 3'!L12="","",'Zero Shot Run 3'!L12)</f>
        <v>The project team has established regular interdisciplinary and collaborative meetings to set and achieve sustainability goals.</v>
      </c>
      <c r="G420" s="15" t="str">
        <f>IF('Zero Shot Run 4'!L12="","",'Zero Shot Run 4'!L12)</f>
        <v/>
      </c>
      <c r="H420" s="15" t="str">
        <f>IF('Zero Shot Run 5'!L12="","",'Zero Shot Run 5'!L12)</f>
        <v/>
      </c>
      <c r="I420" s="36" t="str">
        <f>IF(AND(D420=E420,E420=F420,F420=G420,G420=H420),"Yes","No")</f>
        <v>No</v>
      </c>
    </row>
    <row r="421" spans="1:9" ht="30" x14ac:dyDescent="0.25">
      <c r="A421" s="27" t="str">
        <f>'Zero Shot Run 1'!D13</f>
        <v>Leadership</v>
      </c>
      <c r="B421" s="28" t="str">
        <f>'Zero Shot Run 1'!E13</f>
        <v>LD1.3</v>
      </c>
      <c r="C421" s="29" t="str">
        <f>'Zero Shot Run 1'!F13</f>
        <v>Provide for Stakeholder Involvement</v>
      </c>
      <c r="D421" s="14" t="str">
        <f>IF('Zero Shot Run 1'!L13="","",'Zero Shot Run 1'!L13)</f>
        <v/>
      </c>
      <c r="E421" s="14" t="str">
        <f>IF('Zero Shot Run 2'!L13="","",'Zero Shot Run 2'!L13)</f>
        <v/>
      </c>
      <c r="F421" s="14" t="str">
        <f>IF('Zero Shot Run 3'!L13="","",'Zero Shot Run 3'!L13)</f>
        <v>The project team has undertaken a stakeholder mapping exercise to determine stakeholders.</v>
      </c>
      <c r="G421" s="14" t="str">
        <f>IF('Zero Shot Run 4'!L13="","",'Zero Shot Run 4'!L13)</f>
        <v/>
      </c>
      <c r="H421" s="14" t="str">
        <f>IF('Zero Shot Run 5'!L13="","",'Zero Shot Run 5'!L13)</f>
        <v/>
      </c>
      <c r="I421" s="31" t="str">
        <f>IF(AND(D421=E421,E421=F421,F421=G421,G421=H421),"Yes","No")</f>
        <v>No</v>
      </c>
    </row>
    <row r="422" spans="1:9" ht="30" x14ac:dyDescent="0.25">
      <c r="A422" s="32" t="str">
        <f>'Zero Shot Run 1'!D14</f>
        <v>Leadership</v>
      </c>
      <c r="B422" s="33" t="str">
        <f>'Zero Shot Run 1'!E14</f>
        <v>LD1.4</v>
      </c>
      <c r="C422" s="34" t="str">
        <f>'Zero Shot Run 1'!F14</f>
        <v>Pursue Byproduct Synergies</v>
      </c>
      <c r="D422" s="15" t="str">
        <f>IF('Zero Shot Run 1'!L14="","",'Zero Shot Run 1'!L14)</f>
        <v/>
      </c>
      <c r="E422" s="15" t="str">
        <f>IF('Zero Shot Run 2'!L14="","",'Zero Shot Run 2'!L14)</f>
        <v/>
      </c>
      <c r="F422" s="15" t="str">
        <f>IF('Zero Shot Run 3'!L14="","",'Zero Shot Run 3'!L14)</f>
        <v>The project team has assessed the availability of internal or external excess resources or capacity.</v>
      </c>
      <c r="G422" s="15" t="str">
        <f>IF('Zero Shot Run 4'!L14="","",'Zero Shot Run 4'!L14)</f>
        <v/>
      </c>
      <c r="H422" s="15" t="str">
        <f>IF('Zero Shot Run 5'!L14="","",'Zero Shot Run 5'!L14)</f>
        <v/>
      </c>
      <c r="I422" s="36" t="str">
        <f>IF(AND(D422=E422,E422=F422,F422=G422,G422=H422),"Yes","No")</f>
        <v>No</v>
      </c>
    </row>
    <row r="423" spans="1:9" ht="45" x14ac:dyDescent="0.25">
      <c r="A423" s="27" t="str">
        <f>'Zero Shot Run 1'!D15</f>
        <v>Leadership</v>
      </c>
      <c r="B423" s="28" t="str">
        <f>'Zero Shot Run 1'!E15</f>
        <v>LD2.1</v>
      </c>
      <c r="C423" s="29" t="str">
        <f>'Zero Shot Run 1'!F15</f>
        <v>Establish a Sustainability Management Plan</v>
      </c>
      <c r="D423" s="14" t="str">
        <f>IF('Zero Shot Run 1'!L15="","",'Zero Shot Run 1'!L15)</f>
        <v/>
      </c>
      <c r="E423" s="14" t="str">
        <f>IF('Zero Shot Run 2'!L15="","",'Zero Shot Run 2'!L15)</f>
        <v/>
      </c>
      <c r="F423" s="14" t="str">
        <f>IF('Zero Shot Run 3'!L15="","",'Zero Shot Run 3'!L15)</f>
        <v>The project team has developed a sustainability management plan to assess and prioritize environmental, economic, and social aspects of the project.</v>
      </c>
      <c r="G423" s="14" t="str">
        <f>IF('Zero Shot Run 4'!L15="","",'Zero Shot Run 4'!L15)</f>
        <v/>
      </c>
      <c r="H423" s="14" t="str">
        <f>IF('Zero Shot Run 5'!L15="","",'Zero Shot Run 5'!L15)</f>
        <v/>
      </c>
      <c r="I423" s="31" t="str">
        <f>IF(AND(D423=E423,E423=F423,F423=G423,G423=H423),"Yes","No")</f>
        <v>No</v>
      </c>
    </row>
    <row r="424" spans="1:9" ht="30" x14ac:dyDescent="0.25">
      <c r="A424" s="32" t="str">
        <f>'Zero Shot Run 1'!D16</f>
        <v>Leadership</v>
      </c>
      <c r="B424" s="33" t="str">
        <f>'Zero Shot Run 1'!E16</f>
        <v>LD2.2</v>
      </c>
      <c r="C424" s="34" t="str">
        <f>'Zero Shot Run 1'!F16</f>
        <v>Plan for Sustainable Communities</v>
      </c>
      <c r="D424" s="15" t="str">
        <f>IF('Zero Shot Run 1'!L16="","",'Zero Shot Run 1'!L16)</f>
        <v/>
      </c>
      <c r="E424" s="15" t="str">
        <f>IF('Zero Shot Run 2'!L16="","",'Zero Shot Run 2'!L16)</f>
        <v/>
      </c>
      <c r="F424" s="15" t="str">
        <f>IF('Zero Shot Run 3'!L16="","",'Zero Shot Run 3'!L16)</f>
        <v>The project team has considered sustainability during project selection/identification.</v>
      </c>
      <c r="G424" s="15" t="str">
        <f>IF('Zero Shot Run 4'!L16="","",'Zero Shot Run 4'!L16)</f>
        <v/>
      </c>
      <c r="H424" s="15" t="str">
        <f>IF('Zero Shot Run 5'!L16="","",'Zero Shot Run 5'!L16)</f>
        <v/>
      </c>
      <c r="I424" s="36" t="str">
        <f>IF(AND(D424=E424,E424=F424,F424=G424,G424=H424),"Yes","No")</f>
        <v>No</v>
      </c>
    </row>
    <row r="425" spans="1:9" ht="30" x14ac:dyDescent="0.25">
      <c r="A425" s="27" t="str">
        <f>'Zero Shot Run 1'!D17</f>
        <v>Leadership</v>
      </c>
      <c r="B425" s="28" t="str">
        <f>'Zero Shot Run 1'!E17</f>
        <v>LD2.3</v>
      </c>
      <c r="C425" s="29" t="str">
        <f>'Zero Shot Run 1'!F17</f>
        <v>Plan for Long-Term Monitoring and Maintenance</v>
      </c>
      <c r="D425" s="14" t="str">
        <f>IF('Zero Shot Run 1'!L17="","",'Zero Shot Run 1'!L17)</f>
        <v/>
      </c>
      <c r="E425" s="14" t="str">
        <f>IF('Zero Shot Run 2'!L17="","",'Zero Shot Run 2'!L17)</f>
        <v/>
      </c>
      <c r="F425" s="14" t="str">
        <f>IF('Zero Shot Run 3'!L17="","",'Zero Shot Run 3'!L17)</f>
        <v>The project team has considered how to reduce ongoing operational impacts.</v>
      </c>
      <c r="G425" s="14" t="str">
        <f>IF('Zero Shot Run 4'!L17="","",'Zero Shot Run 4'!L17)</f>
        <v/>
      </c>
      <c r="H425" s="14" t="str">
        <f>IF('Zero Shot Run 5'!L17="","",'Zero Shot Run 5'!L17)</f>
        <v/>
      </c>
      <c r="I425" s="31" t="str">
        <f>IF(AND(D425=E425,E425=F425,F425=G425,G425=H425),"Yes","No")</f>
        <v>No</v>
      </c>
    </row>
    <row r="426" spans="1:9" x14ac:dyDescent="0.25">
      <c r="A426" s="32" t="str">
        <f>'Zero Shot Run 1'!D18</f>
        <v>Leadership</v>
      </c>
      <c r="B426" s="33" t="str">
        <f>'Zero Shot Run 1'!E18</f>
        <v>LD2.4</v>
      </c>
      <c r="C426" s="34" t="str">
        <f>'Zero Shot Run 1'!F18</f>
        <v>Plan for End-of-Life</v>
      </c>
      <c r="D426" s="15" t="str">
        <f>IF('Zero Shot Run 1'!L18="","",'Zero Shot Run 1'!L18)</f>
        <v/>
      </c>
      <c r="E426" s="15" t="str">
        <f>IF('Zero Shot Run 2'!L18="","",'Zero Shot Run 2'!L18)</f>
        <v/>
      </c>
      <c r="F426" s="15" t="str">
        <f>IF('Zero Shot Run 3'!L18="","",'Zero Shot Run 3'!L18)</f>
        <v>The project team has developed an end-of-life plan.</v>
      </c>
      <c r="G426" s="15" t="str">
        <f>IF('Zero Shot Run 4'!L18="","",'Zero Shot Run 4'!L18)</f>
        <v/>
      </c>
      <c r="H426" s="15" t="str">
        <f>IF('Zero Shot Run 5'!L18="","",'Zero Shot Run 5'!L18)</f>
        <v/>
      </c>
      <c r="I426" s="36" t="str">
        <f>IF(AND(D426=E426,E426=F426,F426=G426,G426=H426),"Yes","No")</f>
        <v>No</v>
      </c>
    </row>
    <row r="427" spans="1:9" ht="30" x14ac:dyDescent="0.25">
      <c r="A427" s="27" t="str">
        <f>'Zero Shot Run 1'!D19</f>
        <v>Leadership</v>
      </c>
      <c r="B427" s="28" t="str">
        <f>'Zero Shot Run 1'!E19</f>
        <v>LD3.1</v>
      </c>
      <c r="C427" s="29" t="str">
        <f>'Zero Shot Run 1'!F19</f>
        <v>Stimulate Economic Prosperity and Development</v>
      </c>
      <c r="D427" s="14" t="str">
        <f>IF('Zero Shot Run 1'!L19="","",'Zero Shot Run 1'!L19)</f>
        <v/>
      </c>
      <c r="E427" s="14" t="str">
        <f>IF('Zero Shot Run 2'!L19="","",'Zero Shot Run 2'!L19)</f>
        <v/>
      </c>
      <c r="F427" s="14" t="str">
        <f>IF('Zero Shot Run 3'!L19="","",'Zero Shot Run 3'!L19)</f>
        <v>The project team has considered how to support economic prosperity and development.</v>
      </c>
      <c r="G427" s="14" t="str">
        <f>IF('Zero Shot Run 4'!L19="","",'Zero Shot Run 4'!L19)</f>
        <v/>
      </c>
      <c r="H427" s="14" t="str">
        <f>IF('Zero Shot Run 5'!L19="","",'Zero Shot Run 5'!L19)</f>
        <v/>
      </c>
      <c r="I427" s="31" t="str">
        <f>IF(AND(D427=E427,E427=F427,F427=G427,G427=H427),"Yes","No")</f>
        <v>No</v>
      </c>
    </row>
    <row r="428" spans="1:9" ht="30" x14ac:dyDescent="0.25">
      <c r="A428" s="32" t="str">
        <f>'Zero Shot Run 1'!D20</f>
        <v>Leadership</v>
      </c>
      <c r="B428" s="33" t="str">
        <f>'Zero Shot Run 1'!E20</f>
        <v>LD3.2</v>
      </c>
      <c r="C428" s="34" t="str">
        <f>'Zero Shot Run 1'!F20</f>
        <v>Develop Local Skills and Capabilities</v>
      </c>
      <c r="D428" s="15" t="str">
        <f>IF('Zero Shot Run 1'!L20="","",'Zero Shot Run 1'!L20)</f>
        <v/>
      </c>
      <c r="E428" s="15" t="str">
        <f>IF('Zero Shot Run 2'!L20="","",'Zero Shot Run 2'!L20)</f>
        <v/>
      </c>
      <c r="F428" s="15" t="str">
        <f>IF('Zero Shot Run 3'!L20="","",'Zero Shot Run 3'!L20)</f>
        <v>The project team has considered how to expand local skills and capabilities.</v>
      </c>
      <c r="G428" s="15" t="str">
        <f>IF('Zero Shot Run 4'!L20="","",'Zero Shot Run 4'!L20)</f>
        <v/>
      </c>
      <c r="H428" s="15" t="str">
        <f>IF('Zero Shot Run 5'!L20="","",'Zero Shot Run 5'!L20)</f>
        <v/>
      </c>
      <c r="I428" s="36" t="str">
        <f>IF(AND(D428=E428,E428=F428,F428=G428,G428=H428),"Yes","No")</f>
        <v>No</v>
      </c>
    </row>
    <row r="429" spans="1:9" ht="30" x14ac:dyDescent="0.25">
      <c r="A429" s="27" t="str">
        <f>'Zero Shot Run 1'!D21</f>
        <v>Leadership</v>
      </c>
      <c r="B429" s="28" t="str">
        <f>'Zero Shot Run 1'!E21</f>
        <v>LD3.3</v>
      </c>
      <c r="C429" s="29" t="str">
        <f>'Zero Shot Run 1'!F21</f>
        <v>Conduct a Life-Cycle Economic Evaluation</v>
      </c>
      <c r="D429" s="14" t="str">
        <f>IF('Zero Shot Run 1'!L21="","",'Zero Shot Run 1'!L21)</f>
        <v/>
      </c>
      <c r="E429" s="14" t="str">
        <f>IF('Zero Shot Run 2'!L21="","",'Zero Shot Run 2'!L21)</f>
        <v/>
      </c>
      <c r="F429" s="14" t="str">
        <f>IF('Zero Shot Run 3'!L21="","",'Zero Shot Run 3'!L21)</f>
        <v>The project team has considered how to conduct a life-cycle economic evaluation.</v>
      </c>
      <c r="G429" s="14" t="str">
        <f>IF('Zero Shot Run 4'!L21="","",'Zero Shot Run 4'!L21)</f>
        <v/>
      </c>
      <c r="H429" s="14" t="str">
        <f>IF('Zero Shot Run 5'!L21="","",'Zero Shot Run 5'!L21)</f>
        <v/>
      </c>
      <c r="I429" s="31" t="str">
        <f>IF(AND(D429=E429,E429=F429,F429=G429,G429=H429),"Yes","No")</f>
        <v>No</v>
      </c>
    </row>
    <row r="430" spans="1:9" x14ac:dyDescent="0.25">
      <c r="A430" s="32" t="str">
        <f>'Zero Shot Run 1'!D22</f>
        <v>Natural World</v>
      </c>
      <c r="B430" s="33">
        <f>'Zero Shot Run 1'!E22</f>
        <v>0</v>
      </c>
      <c r="C430" s="34">
        <f>'Zero Shot Run 1'!F22</f>
        <v>0</v>
      </c>
      <c r="D430" s="15" t="str">
        <f>IF('Zero Shot Run 1'!L22="","",'Zero Shot Run 1'!L22)</f>
        <v/>
      </c>
      <c r="E430" s="15" t="str">
        <f>IF('Zero Shot Run 2'!L22="","",'Zero Shot Run 2'!L22)</f>
        <v/>
      </c>
      <c r="F430" s="15" t="str">
        <f>IF('Zero Shot Run 3'!L22="","",'Zero Shot Run 3'!L22)</f>
        <v/>
      </c>
      <c r="G430" s="15" t="str">
        <f>IF('Zero Shot Run 4'!L22="","",'Zero Shot Run 4'!L22)</f>
        <v/>
      </c>
      <c r="H430" s="15" t="str">
        <f>IF('Zero Shot Run 5'!L22="","",'Zero Shot Run 5'!L22)</f>
        <v/>
      </c>
      <c r="I430" s="36" t="str">
        <f>IF(AND(D430=E430,E430=F430,F430=G430,G430=H430),"Yes","No")</f>
        <v>Yes</v>
      </c>
    </row>
    <row r="431" spans="1:9" x14ac:dyDescent="0.25">
      <c r="A431" s="27" t="str">
        <f>'Zero Shot Run 1'!D23</f>
        <v>Quality Of Life</v>
      </c>
      <c r="B431" s="28">
        <f>'Zero Shot Run 1'!E23</f>
        <v>0</v>
      </c>
      <c r="C431" s="29">
        <f>'Zero Shot Run 1'!F23</f>
        <v>0</v>
      </c>
      <c r="D431" s="14" t="str">
        <f>IF('Zero Shot Run 1'!L23="","",'Zero Shot Run 1'!L23)</f>
        <v/>
      </c>
      <c r="E431" s="14" t="str">
        <f>IF('Zero Shot Run 2'!L23="","",'Zero Shot Run 2'!L23)</f>
        <v/>
      </c>
      <c r="F431" s="14" t="str">
        <f>IF('Zero Shot Run 3'!L23="","",'Zero Shot Run 3'!L23)</f>
        <v/>
      </c>
      <c r="G431" s="14" t="str">
        <f>IF('Zero Shot Run 4'!L23="","",'Zero Shot Run 4'!L23)</f>
        <v/>
      </c>
      <c r="H431" s="14" t="str">
        <f>IF('Zero Shot Run 5'!L23="","",'Zero Shot Run 5'!L23)</f>
        <v/>
      </c>
      <c r="I431" s="31" t="str">
        <f>IF(AND(D431=E431,E431=F431,F431=G431,G431=H431),"Yes","No")</f>
        <v>Yes</v>
      </c>
    </row>
    <row r="432" spans="1:9" ht="60" x14ac:dyDescent="0.25">
      <c r="A432" s="32" t="str">
        <f>'Zero Shot Run 1'!D24</f>
        <v>Resource Allocation</v>
      </c>
      <c r="B432" s="33" t="str">
        <f>'Zero Shot Run 1'!E24</f>
        <v>RA1.1</v>
      </c>
      <c r="C432" s="34" t="str">
        <f>'Zero Shot Run 1'!F24</f>
        <v>Support Sustainable Procurement Practices</v>
      </c>
      <c r="D432" s="15" t="str">
        <f>IF('Zero Shot Run 1'!L24="","",'Zero Shot Run 1'!L24)</f>
        <v>The project includes the use or consumption of physical materials in construction or operation.</v>
      </c>
      <c r="E432" s="15" t="str">
        <f>IF('Zero Shot Run 2'!L24="","",'Zero Shot Run 2'!L24)</f>
        <v>The project includes the use of physical materials in construction or operation.</v>
      </c>
      <c r="F432" s="15" t="str">
        <f>IF('Zero Shot Run 3'!L24="","",'Zero Shot Run 3'!L24)</f>
        <v>The project includes the use of physical materials in construction or operation.</v>
      </c>
      <c r="G432" s="15" t="str">
        <f>IF('Zero Shot Run 4'!L24="","",'Zero Shot Run 4'!L24)</f>
        <v>The project includes the use or consumption of physical materials in construction or operation.</v>
      </c>
      <c r="H432" s="15" t="str">
        <f>IF('Zero Shot Run 5'!L24="","",'Zero Shot Run 5'!L24)</f>
        <v>The project includes the use or consumption of physical materials in construction or operation.</v>
      </c>
      <c r="I432" s="36" t="str">
        <f>IF(AND(D432=E432,E432=F432,F432=G432,G432=H432),"Yes","No")</f>
        <v>No</v>
      </c>
    </row>
    <row r="433" spans="1:9" ht="60" x14ac:dyDescent="0.25">
      <c r="A433" s="27" t="str">
        <f>'Zero Shot Run 1'!D25</f>
        <v>Resource Allocation</v>
      </c>
      <c r="B433" s="28" t="str">
        <f>'Zero Shot Run 1'!E25</f>
        <v>RA1.2</v>
      </c>
      <c r="C433" s="29" t="str">
        <f>'Zero Shot Run 1'!F25</f>
        <v>Use Recycled Materials</v>
      </c>
      <c r="D433" s="14" t="str">
        <f>IF('Zero Shot Run 1'!L25="","",'Zero Shot Run 1'!L25)</f>
        <v>The project includes the use or consumption of physical materials in construction or operation.</v>
      </c>
      <c r="E433" s="14" t="str">
        <f>IF('Zero Shot Run 2'!L25="","",'Zero Shot Run 2'!L25)</f>
        <v>The project includes the use of physical materials in construction or operation.</v>
      </c>
      <c r="F433" s="14" t="str">
        <f>IF('Zero Shot Run 3'!L25="","",'Zero Shot Run 3'!L25)</f>
        <v>The project includes the use of physical materials in construction or operation.</v>
      </c>
      <c r="G433" s="14" t="str">
        <f>IF('Zero Shot Run 4'!L25="","",'Zero Shot Run 4'!L25)</f>
        <v>The project includes the use or consumption of physical materials in construction or operation.</v>
      </c>
      <c r="H433" s="14" t="str">
        <f>IF('Zero Shot Run 5'!L25="","",'Zero Shot Run 5'!L25)</f>
        <v>The project includes the use or consumption of physical materials in construction or operation.</v>
      </c>
      <c r="I433" s="31" t="str">
        <f>IF(AND(D433=E433,E433=F433,F433=G433,G433=H433),"Yes","No")</f>
        <v>No</v>
      </c>
    </row>
    <row r="434" spans="1:9" ht="30" x14ac:dyDescent="0.25">
      <c r="A434" s="32" t="str">
        <f>'Zero Shot Run 1'!D26</f>
        <v>Resource Allocation</v>
      </c>
      <c r="B434" s="33" t="str">
        <f>'Zero Shot Run 1'!E26</f>
        <v>RA1.3</v>
      </c>
      <c r="C434" s="34" t="str">
        <f>'Zero Shot Run 1'!F26</f>
        <v>Reduce Operational Waste</v>
      </c>
      <c r="D434" s="15" t="str">
        <f>IF('Zero Shot Run 1'!L26="","",'Zero Shot Run 1'!L26)</f>
        <v>The project produces operational waste.</v>
      </c>
      <c r="E434" s="15" t="str">
        <f>IF('Zero Shot Run 2'!L26="","",'Zero Shot Run 2'!L26)</f>
        <v>The project produces operational waste.</v>
      </c>
      <c r="F434" s="15" t="str">
        <f>IF('Zero Shot Run 3'!L26="","",'Zero Shot Run 3'!L26)</f>
        <v>The project produces operational waste.</v>
      </c>
      <c r="G434" s="15" t="str">
        <f>IF('Zero Shot Run 4'!L26="","",'Zero Shot Run 4'!L26)</f>
        <v>The project produces operational waste.</v>
      </c>
      <c r="H434" s="15" t="str">
        <f>IF('Zero Shot Run 5'!L26="","",'Zero Shot Run 5'!L26)</f>
        <v>The project produces operational waste.</v>
      </c>
      <c r="I434" s="36" t="str">
        <f>IF(AND(D434=E434,E434=F434,F434=G434,G434=H434),"Yes","No")</f>
        <v>Yes</v>
      </c>
    </row>
    <row r="435" spans="1:9" ht="30" x14ac:dyDescent="0.25">
      <c r="A435" s="27" t="str">
        <f>'Zero Shot Run 1'!D27</f>
        <v>Resource Allocation</v>
      </c>
      <c r="B435" s="28" t="str">
        <f>'Zero Shot Run 1'!E27</f>
        <v>RA1.4</v>
      </c>
      <c r="C435" s="29" t="str">
        <f>'Zero Shot Run 1'!F27</f>
        <v>Reduce Construction Waste</v>
      </c>
      <c r="D435" s="14" t="str">
        <f>IF('Zero Shot Run 1'!L27="","",'Zero Shot Run 1'!L27)</f>
        <v>The project produces construction waste.</v>
      </c>
      <c r="E435" s="14" t="str">
        <f>IF('Zero Shot Run 2'!L27="","",'Zero Shot Run 2'!L27)</f>
        <v>The project produces construction waste.</v>
      </c>
      <c r="F435" s="14" t="str">
        <f>IF('Zero Shot Run 3'!L27="","",'Zero Shot Run 3'!L27)</f>
        <v>The project produces construction waste.</v>
      </c>
      <c r="G435" s="14" t="str">
        <f>IF('Zero Shot Run 4'!L27="","",'Zero Shot Run 4'!L27)</f>
        <v>The project produces construction waste.</v>
      </c>
      <c r="H435" s="14" t="str">
        <f>IF('Zero Shot Run 5'!L27="","",'Zero Shot Run 5'!L27)</f>
        <v>The project produces construction waste.</v>
      </c>
      <c r="I435" s="31" t="str">
        <f>IF(AND(D435=E435,E435=F435,F435=G435,G435=H435),"Yes","No")</f>
        <v>Yes</v>
      </c>
    </row>
    <row r="436" spans="1:9" ht="45" x14ac:dyDescent="0.25">
      <c r="A436" s="32" t="str">
        <f>'Zero Shot Run 1'!D28</f>
        <v>Resource Allocation</v>
      </c>
      <c r="B436" s="33" t="str">
        <f>'Zero Shot Run 1'!E28</f>
        <v>RA1.5</v>
      </c>
      <c r="C436" s="34" t="str">
        <f>'Zero Shot Run 1'!F28</f>
        <v>Balance Earthwork On Site</v>
      </c>
      <c r="D436" s="15" t="str">
        <f>IF('Zero Shot Run 1'!L28="","",'Zero Shot Run 1'!L28)</f>
        <v>The project involves excavation of qualifying earthwork.</v>
      </c>
      <c r="E436" s="15" t="str">
        <f>IF('Zero Shot Run 2'!L28="","",'Zero Shot Run 2'!L28)</f>
        <v>The project involves excavation of qualifying earthwork.</v>
      </c>
      <c r="F436" s="15" t="str">
        <f>IF('Zero Shot Run 3'!L28="","",'Zero Shot Run 3'!L28)</f>
        <v>The project involves earthwork.</v>
      </c>
      <c r="G436" s="15" t="str">
        <f>IF('Zero Shot Run 4'!L28="","",'Zero Shot Run 4'!L28)</f>
        <v>The project involves the excavation of qualifying earthwork.</v>
      </c>
      <c r="H436" s="15" t="str">
        <f>IF('Zero Shot Run 5'!L28="","",'Zero Shot Run 5'!L28)</f>
        <v>The project involves the excavation of qualifying earthwork.</v>
      </c>
      <c r="I436" s="36" t="str">
        <f>IF(AND(D436=E436,E436=F436,F436=G436,G436=H436),"Yes","No")</f>
        <v>No</v>
      </c>
    </row>
    <row r="437" spans="1:9" ht="30" x14ac:dyDescent="0.25">
      <c r="A437" s="27" t="str">
        <f>'Zero Shot Run 1'!D29</f>
        <v>Resource Allocation</v>
      </c>
      <c r="B437" s="28" t="str">
        <f>'Zero Shot Run 1'!E29</f>
        <v>RA2.1</v>
      </c>
      <c r="C437" s="29" t="str">
        <f>'Zero Shot Run 1'!F29</f>
        <v>Reduce Operational Energy Consumption</v>
      </c>
      <c r="D437" s="14" t="str">
        <f>IF('Zero Shot Run 1'!L29="","",'Zero Shot Run 1'!L29)</f>
        <v>The project consumes energy during operation.</v>
      </c>
      <c r="E437" s="14" t="str">
        <f>IF('Zero Shot Run 2'!L29="","",'Zero Shot Run 2'!L29)</f>
        <v>The project consumes energy during operation.</v>
      </c>
      <c r="F437" s="14" t="str">
        <f>IF('Zero Shot Run 3'!L29="","",'Zero Shot Run 3'!L29)</f>
        <v>The project consumes energy during operation.</v>
      </c>
      <c r="G437" s="14" t="str">
        <f>IF('Zero Shot Run 4'!L29="","",'Zero Shot Run 4'!L29)</f>
        <v>The project consumes energy during operation.</v>
      </c>
      <c r="H437" s="14" t="str">
        <f>IF('Zero Shot Run 5'!L29="","",'Zero Shot Run 5'!L29)</f>
        <v>The project consumes energy during operation.</v>
      </c>
      <c r="I437" s="31" t="str">
        <f>IF(AND(D437=E437,E437=F437,F437=G437,G437=H437),"Yes","No")</f>
        <v>Yes</v>
      </c>
    </row>
    <row r="438" spans="1:9" ht="30" x14ac:dyDescent="0.25">
      <c r="A438" s="32" t="str">
        <f>'Zero Shot Run 1'!D30</f>
        <v>Resource Allocation</v>
      </c>
      <c r="B438" s="33" t="str">
        <f>'Zero Shot Run 1'!E30</f>
        <v>RA2.2</v>
      </c>
      <c r="C438" s="34" t="str">
        <f>'Zero Shot Run 1'!F30</f>
        <v>Reduce Construction Energy Consumption</v>
      </c>
      <c r="D438" s="15" t="str">
        <f>IF('Zero Shot Run 1'!L30="","",'Zero Shot Run 1'!L30)</f>
        <v>The project consumes energy during construction.</v>
      </c>
      <c r="E438" s="15" t="str">
        <f>IF('Zero Shot Run 2'!L30="","",'Zero Shot Run 2'!L30)</f>
        <v>The project consumes energy during construction.</v>
      </c>
      <c r="F438" s="15" t="str">
        <f>IF('Zero Shot Run 3'!L30="","",'Zero Shot Run 3'!L30)</f>
        <v>The project consumes energy during construction.</v>
      </c>
      <c r="G438" s="15" t="str">
        <f>IF('Zero Shot Run 4'!L30="","",'Zero Shot Run 4'!L30)</f>
        <v>The project consumes energy during construction.</v>
      </c>
      <c r="H438" s="15" t="str">
        <f>IF('Zero Shot Run 5'!L30="","",'Zero Shot Run 5'!L30)</f>
        <v>The project consumes energy during construction.</v>
      </c>
      <c r="I438" s="36" t="str">
        <f>IF(AND(D438=E438,E438=F438,F438=G438,G438=H438),"Yes","No")</f>
        <v>Yes</v>
      </c>
    </row>
    <row r="439" spans="1:9" ht="30" x14ac:dyDescent="0.25">
      <c r="A439" s="27" t="str">
        <f>'Zero Shot Run 1'!D31</f>
        <v>Resource Allocation</v>
      </c>
      <c r="B439" s="28" t="str">
        <f>'Zero Shot Run 1'!E31</f>
        <v>RA2.3</v>
      </c>
      <c r="C439" s="29" t="str">
        <f>'Zero Shot Run 1'!F31</f>
        <v>Use Renewable Energy</v>
      </c>
      <c r="D439" s="14" t="str">
        <f>IF('Zero Shot Run 1'!L31="","",'Zero Shot Run 1'!L31)</f>
        <v>The project consumes energy during operation.</v>
      </c>
      <c r="E439" s="14" t="str">
        <f>IF('Zero Shot Run 2'!L31="","",'Zero Shot Run 2'!L31)</f>
        <v>The project consumes energy during operation.</v>
      </c>
      <c r="F439" s="14" t="str">
        <f>IF('Zero Shot Run 3'!L31="","",'Zero Shot Run 3'!L31)</f>
        <v>The project consumes energy during operation.</v>
      </c>
      <c r="G439" s="14" t="str">
        <f>IF('Zero Shot Run 4'!L31="","",'Zero Shot Run 4'!L31)</f>
        <v>The project consumes energy during operation.</v>
      </c>
      <c r="H439" s="14" t="str">
        <f>IF('Zero Shot Run 5'!L31="","",'Zero Shot Run 5'!L31)</f>
        <v>The project consumes energy during operation.</v>
      </c>
      <c r="I439" s="31" t="str">
        <f>IF(AND(D439=E439,E439=F439,F439=G439,G439=H439),"Yes","No")</f>
        <v>Yes</v>
      </c>
    </row>
    <row r="440" spans="1:9" ht="30" x14ac:dyDescent="0.25">
      <c r="A440" s="32" t="str">
        <f>'Zero Shot Run 1'!D32</f>
        <v>Resource Allocation</v>
      </c>
      <c r="B440" s="33" t="str">
        <f>'Zero Shot Run 1'!E32</f>
        <v>RA2.4</v>
      </c>
      <c r="C440" s="34" t="str">
        <f>'Zero Shot Run 1'!F32</f>
        <v>Commission and Monitor Energy Systems</v>
      </c>
      <c r="D440" s="15" t="str">
        <f>IF('Zero Shot Run 1'!L32="","",'Zero Shot Run 1'!L32)</f>
        <v>The project consumes energy during operation.</v>
      </c>
      <c r="E440" s="15" t="str">
        <f>IF('Zero Shot Run 2'!L32="","",'Zero Shot Run 2'!L32)</f>
        <v>The project consumes energy during operation.</v>
      </c>
      <c r="F440" s="15" t="str">
        <f>IF('Zero Shot Run 3'!L32="","",'Zero Shot Run 3'!L32)</f>
        <v>The project consumes energy during operation.</v>
      </c>
      <c r="G440" s="15" t="str">
        <f>IF('Zero Shot Run 4'!L32="","",'Zero Shot Run 4'!L32)</f>
        <v>The project consumes energy during operation.</v>
      </c>
      <c r="H440" s="15" t="str">
        <f>IF('Zero Shot Run 5'!L32="","",'Zero Shot Run 5'!L32)</f>
        <v>The project consumes energy during operation.</v>
      </c>
      <c r="I440" s="36" t="str">
        <f>IF(AND(D440=E440,E440=F440,F440=G440,G440=H440),"Yes","No")</f>
        <v>Yes</v>
      </c>
    </row>
    <row r="441" spans="1:9" ht="30" x14ac:dyDescent="0.25">
      <c r="A441" s="27" t="str">
        <f>'Zero Shot Run 1'!D33</f>
        <v>Resource Allocation</v>
      </c>
      <c r="B441" s="28" t="str">
        <f>'Zero Shot Run 1'!E33</f>
        <v>RA3.1</v>
      </c>
      <c r="C441" s="29" t="str">
        <f>'Zero Shot Run 1'!F33</f>
        <v>Preserve Water Resources</v>
      </c>
      <c r="D441" s="14" t="str">
        <f>IF('Zero Shot Run 1'!L33="","",'Zero Shot Run 1'!L33)</f>
        <v>The project consumes water or impacts receiving waters.</v>
      </c>
      <c r="E441" s="14" t="str">
        <f>IF('Zero Shot Run 2'!L33="","",'Zero Shot Run 2'!L33)</f>
        <v>The project consumes water during operation.</v>
      </c>
      <c r="F441" s="14" t="str">
        <f>IF('Zero Shot Run 3'!L33="","",'Zero Shot Run 3'!L33)</f>
        <v>The project consumes water during operation.</v>
      </c>
      <c r="G441" s="14" t="str">
        <f>IF('Zero Shot Run 4'!L33="","",'Zero Shot Run 4'!L33)</f>
        <v>The project consumes water or impacts receiving waters.</v>
      </c>
      <c r="H441" s="14" t="str">
        <f>IF('Zero Shot Run 5'!L33="","",'Zero Shot Run 5'!L33)</f>
        <v>The project consumes water or impacts receiving waters.</v>
      </c>
      <c r="I441" s="31" t="str">
        <f>IF(AND(D441=E441,E441=F441,F441=G441,G441=H441),"Yes","No")</f>
        <v>No</v>
      </c>
    </row>
    <row r="442" spans="1:9" ht="30" x14ac:dyDescent="0.25">
      <c r="A442" s="32" t="str">
        <f>'Zero Shot Run 1'!D34</f>
        <v>Resource Allocation</v>
      </c>
      <c r="B442" s="33" t="str">
        <f>'Zero Shot Run 1'!E34</f>
        <v>RA3.2</v>
      </c>
      <c r="C442" s="34" t="str">
        <f>'Zero Shot Run 1'!F34</f>
        <v>Reduce Operational Water Consumption</v>
      </c>
      <c r="D442" s="15" t="str">
        <f>IF('Zero Shot Run 1'!L34="","",'Zero Shot Run 1'!L34)</f>
        <v>The project consumes water during operation.</v>
      </c>
      <c r="E442" s="15" t="str">
        <f>IF('Zero Shot Run 2'!L34="","",'Zero Shot Run 2'!L34)</f>
        <v>The project consumes water during operation.</v>
      </c>
      <c r="F442" s="15" t="str">
        <f>IF('Zero Shot Run 3'!L34="","",'Zero Shot Run 3'!L34)</f>
        <v>The project consumes water during operation.</v>
      </c>
      <c r="G442" s="15" t="str">
        <f>IF('Zero Shot Run 4'!L34="","",'Zero Shot Run 4'!L34)</f>
        <v>The project consumes water during operation.</v>
      </c>
      <c r="H442" s="15" t="str">
        <f>IF('Zero Shot Run 5'!L34="","",'Zero Shot Run 5'!L34)</f>
        <v>The project consumes water during operation.</v>
      </c>
      <c r="I442" s="36" t="str">
        <f>IF(AND(D442=E442,E442=F442,F442=G442,G442=H442),"Yes","No")</f>
        <v>Yes</v>
      </c>
    </row>
    <row r="443" spans="1:9" ht="30" x14ac:dyDescent="0.25">
      <c r="A443" s="27" t="str">
        <f>'Zero Shot Run 1'!D35</f>
        <v>Resource Allocation</v>
      </c>
      <c r="B443" s="28" t="str">
        <f>'Zero Shot Run 1'!E35</f>
        <v>RA3.3</v>
      </c>
      <c r="C443" s="29" t="str">
        <f>'Zero Shot Run 1'!F35</f>
        <v>Reduce Construction Water Consumption</v>
      </c>
      <c r="D443" s="14" t="str">
        <f>IF('Zero Shot Run 1'!L35="","",'Zero Shot Run 1'!L35)</f>
        <v>The project consumes water during construction.</v>
      </c>
      <c r="E443" s="14" t="str">
        <f>IF('Zero Shot Run 2'!L35="","",'Zero Shot Run 2'!L35)</f>
        <v>The project consumes water during construction.</v>
      </c>
      <c r="F443" s="14" t="str">
        <f>IF('Zero Shot Run 3'!L35="","",'Zero Shot Run 3'!L35)</f>
        <v>The project consumes water during construction.</v>
      </c>
      <c r="G443" s="14" t="str">
        <f>IF('Zero Shot Run 4'!L35="","",'Zero Shot Run 4'!L35)</f>
        <v>The project consumes water during construction.</v>
      </c>
      <c r="H443" s="14" t="str">
        <f>IF('Zero Shot Run 5'!L35="","",'Zero Shot Run 5'!L35)</f>
        <v>The project consumes water during construction.</v>
      </c>
      <c r="I443" s="31" t="str">
        <f>IF(AND(D443=E443,E443=F443,F443=G443,G443=H443),"Yes","No")</f>
        <v>Yes</v>
      </c>
    </row>
    <row r="444" spans="1:9" ht="60.75" thickBot="1" x14ac:dyDescent="0.3">
      <c r="A444" s="37" t="str">
        <f>'Zero Shot Run 1'!D36</f>
        <v>Resource Allocation</v>
      </c>
      <c r="B444" s="38" t="str">
        <f>'Zero Shot Run 1'!E36</f>
        <v>RA3.4</v>
      </c>
      <c r="C444" s="39" t="str">
        <f>'Zero Shot Run 1'!F36</f>
        <v>Monitor Water Systems</v>
      </c>
      <c r="D444" s="16" t="str">
        <f>IF('Zero Shot Run 1'!L36="","",'Zero Shot Run 1'!L36)</f>
        <v>The project consumes water or includes the conveyance of large quantities of water.</v>
      </c>
      <c r="E444" s="16" t="str">
        <f>IF('Zero Shot Run 2'!L36="","",'Zero Shot Run 2'!L36)</f>
        <v>The project consumes water during operation.</v>
      </c>
      <c r="F444" s="16" t="str">
        <f>IF('Zero Shot Run 3'!L36="","",'Zero Shot Run 3'!L36)</f>
        <v>The project consumes water during operation.</v>
      </c>
      <c r="G444" s="16" t="str">
        <f>IF('Zero Shot Run 4'!L36="","",'Zero Shot Run 4'!L36)</f>
        <v>The project consumes water or includes the conveyance of large quantities of water.</v>
      </c>
      <c r="H444" s="16" t="str">
        <f>IF('Zero Shot Run 5'!L36="","",'Zero Shot Run 5'!L36)</f>
        <v>The project consumes water during operation or includes the conveyance of large quantities of water.</v>
      </c>
      <c r="I444" s="41" t="str">
        <f>IF(AND(D444=E444,E444=F444,F444=G444,G444=H444),"Yes","No")</f>
        <v>No</v>
      </c>
    </row>
  </sheetData>
  <mergeCells count="14">
    <mergeCell ref="A256:I256"/>
    <mergeCell ref="A294:I294"/>
    <mergeCell ref="A332:I332"/>
    <mergeCell ref="A370:I370"/>
    <mergeCell ref="A408:I408"/>
    <mergeCell ref="A1:I1"/>
    <mergeCell ref="A2:I2"/>
    <mergeCell ref="A4:I4"/>
    <mergeCell ref="A255:I255"/>
    <mergeCell ref="A5:I5"/>
    <mergeCell ref="A55:I55"/>
    <mergeCell ref="A105:I105"/>
    <mergeCell ref="A155:I155"/>
    <mergeCell ref="A205:I205"/>
  </mergeCells>
  <conditionalFormatting sqref="D7:H53">
    <cfRule type="expression" dxfId="29" priority="1">
      <formula>$I7="No"</formula>
    </cfRule>
  </conditionalFormatting>
  <conditionalFormatting sqref="I7:I53">
    <cfRule type="containsText" dxfId="28" priority="2" operator="containsText" text="No">
      <formula>NOT(ISERROR(SEARCH("No",I7)))</formula>
    </cfRule>
  </conditionalFormatting>
  <conditionalFormatting sqref="I7:I53">
    <cfRule type="containsText" dxfId="27" priority="3" operator="containsText" text="Yes">
      <formula>NOT(ISERROR(SEARCH("Yes",I7)))</formula>
    </cfRule>
  </conditionalFormatting>
  <conditionalFormatting sqref="D57:H103">
    <cfRule type="expression" dxfId="26" priority="4">
      <formula>$I57="No"</formula>
    </cfRule>
  </conditionalFormatting>
  <conditionalFormatting sqref="I57:I103">
    <cfRule type="containsText" dxfId="25" priority="5" operator="containsText" text="No">
      <formula>NOT(ISERROR(SEARCH("No",I57)))</formula>
    </cfRule>
  </conditionalFormatting>
  <conditionalFormatting sqref="I57:I103">
    <cfRule type="containsText" dxfId="24" priority="6" operator="containsText" text="Yes">
      <formula>NOT(ISERROR(SEARCH("Yes",I57)))</formula>
    </cfRule>
  </conditionalFormatting>
  <conditionalFormatting sqref="D107:H153">
    <cfRule type="expression" dxfId="23" priority="7">
      <formula>$I107="No"</formula>
    </cfRule>
  </conditionalFormatting>
  <conditionalFormatting sqref="I107:I153">
    <cfRule type="containsText" dxfId="22" priority="8" operator="containsText" text="No">
      <formula>NOT(ISERROR(SEARCH("No",I107)))</formula>
    </cfRule>
  </conditionalFormatting>
  <conditionalFormatting sqref="I107:I153">
    <cfRule type="containsText" dxfId="21" priority="9" operator="containsText" text="Yes">
      <formula>NOT(ISERROR(SEARCH("Yes",I107)))</formula>
    </cfRule>
  </conditionalFormatting>
  <conditionalFormatting sqref="D157:H203">
    <cfRule type="expression" dxfId="20" priority="10">
      <formula>$I157="No"</formula>
    </cfRule>
  </conditionalFormatting>
  <conditionalFormatting sqref="I157:I203">
    <cfRule type="containsText" dxfId="19" priority="11" operator="containsText" text="No">
      <formula>NOT(ISERROR(SEARCH("No",I157)))</formula>
    </cfRule>
  </conditionalFormatting>
  <conditionalFormatting sqref="I157:I203">
    <cfRule type="containsText" dxfId="18" priority="12" operator="containsText" text="Yes">
      <formula>NOT(ISERROR(SEARCH("Yes",I157)))</formula>
    </cfRule>
  </conditionalFormatting>
  <conditionalFormatting sqref="D207:H253">
    <cfRule type="expression" dxfId="17" priority="13">
      <formula>$I207="No"</formula>
    </cfRule>
  </conditionalFormatting>
  <conditionalFormatting sqref="I207:I253">
    <cfRule type="containsText" dxfId="16" priority="14" operator="containsText" text="No">
      <formula>NOT(ISERROR(SEARCH("No",I207)))</formula>
    </cfRule>
  </conditionalFormatting>
  <conditionalFormatting sqref="I207:I253">
    <cfRule type="containsText" dxfId="15" priority="15" operator="containsText" text="Yes">
      <formula>NOT(ISERROR(SEARCH("Yes",I207)))</formula>
    </cfRule>
  </conditionalFormatting>
  <conditionalFormatting sqref="D258:H292">
    <cfRule type="expression" dxfId="14" priority="16">
      <formula>$I258="No"</formula>
    </cfRule>
  </conditionalFormatting>
  <conditionalFormatting sqref="I258:I292">
    <cfRule type="containsText" dxfId="13" priority="17" operator="containsText" text="No">
      <formula>NOT(ISERROR(SEARCH("No",I258)))</formula>
    </cfRule>
  </conditionalFormatting>
  <conditionalFormatting sqref="I258:I292">
    <cfRule type="containsText" dxfId="12" priority="18" operator="containsText" text="Yes">
      <formula>NOT(ISERROR(SEARCH("Yes",I258)))</formula>
    </cfRule>
  </conditionalFormatting>
  <conditionalFormatting sqref="D296:H330">
    <cfRule type="expression" dxfId="11" priority="19">
      <formula>$I296="No"</formula>
    </cfRule>
  </conditionalFormatting>
  <conditionalFormatting sqref="I296:I330">
    <cfRule type="containsText" dxfId="10" priority="20" operator="containsText" text="No">
      <formula>NOT(ISERROR(SEARCH("No",I296)))</formula>
    </cfRule>
  </conditionalFormatting>
  <conditionalFormatting sqref="I296:I330">
    <cfRule type="containsText" dxfId="9" priority="21" operator="containsText" text="Yes">
      <formula>NOT(ISERROR(SEARCH("Yes",I296)))</formula>
    </cfRule>
  </conditionalFormatting>
  <conditionalFormatting sqref="D334:H368">
    <cfRule type="expression" dxfId="8" priority="22">
      <formula>$I334="No"</formula>
    </cfRule>
  </conditionalFormatting>
  <conditionalFormatting sqref="I334:I368">
    <cfRule type="containsText" dxfId="7" priority="23" operator="containsText" text="No">
      <formula>NOT(ISERROR(SEARCH("No",I334)))</formula>
    </cfRule>
  </conditionalFormatting>
  <conditionalFormatting sqref="I334:I368">
    <cfRule type="containsText" dxfId="6" priority="24" operator="containsText" text="Yes">
      <formula>NOT(ISERROR(SEARCH("Yes",I334)))</formula>
    </cfRule>
  </conditionalFormatting>
  <conditionalFormatting sqref="D372:H406">
    <cfRule type="expression" dxfId="5" priority="25">
      <formula>$I372="No"</formula>
    </cfRule>
  </conditionalFormatting>
  <conditionalFormatting sqref="I372:I406">
    <cfRule type="containsText" dxfId="4" priority="26" operator="containsText" text="No">
      <formula>NOT(ISERROR(SEARCH("No",I372)))</formula>
    </cfRule>
  </conditionalFormatting>
  <conditionalFormatting sqref="I372:I406">
    <cfRule type="containsText" dxfId="3" priority="27" operator="containsText" text="Yes">
      <formula>NOT(ISERROR(SEARCH("Yes",I372)))</formula>
    </cfRule>
  </conditionalFormatting>
  <conditionalFormatting sqref="D410:H444">
    <cfRule type="expression" dxfId="2" priority="28">
      <formula>$I410="No"</formula>
    </cfRule>
  </conditionalFormatting>
  <conditionalFormatting sqref="I410:I444">
    <cfRule type="containsText" dxfId="1" priority="29" operator="containsText" text="No">
      <formula>NOT(ISERROR(SEARCH("No",I410)))</formula>
    </cfRule>
  </conditionalFormatting>
  <conditionalFormatting sqref="I410:I444">
    <cfRule type="containsText" dxfId="0" priority="30" operator="containsText" text="Yes">
      <formula>NOT(ISERROR(SEARCH("Yes",I410)))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45" x14ac:dyDescent="0.25">
      <c r="A2" s="3" t="s">
        <v>22</v>
      </c>
      <c r="B2" s="3">
        <v>1</v>
      </c>
      <c r="C2" s="4" t="s">
        <v>23</v>
      </c>
      <c r="D2" s="4" t="s">
        <v>24</v>
      </c>
      <c r="E2" s="3" t="s">
        <v>25</v>
      </c>
      <c r="F2" s="4" t="s">
        <v>26</v>
      </c>
      <c r="G2" s="5">
        <v>14</v>
      </c>
      <c r="H2" s="4" t="s">
        <v>27</v>
      </c>
      <c r="I2" s="6" t="s">
        <v>28</v>
      </c>
      <c r="J2" s="7">
        <v>0</v>
      </c>
      <c r="K2" s="8">
        <v>0</v>
      </c>
      <c r="L2" s="9"/>
      <c r="M2" s="9" t="s">
        <v>29</v>
      </c>
      <c r="N2" s="9" t="s">
        <v>30</v>
      </c>
      <c r="O2" s="9" t="s">
        <v>31</v>
      </c>
      <c r="P2" s="9" t="s">
        <v>32</v>
      </c>
      <c r="Q2" s="10">
        <v>17617</v>
      </c>
      <c r="R2" s="10">
        <v>1284</v>
      </c>
      <c r="S2" s="11">
        <v>366.91</v>
      </c>
      <c r="T2" s="3" t="b">
        <v>1</v>
      </c>
      <c r="U2" s="3" t="b">
        <v>0</v>
      </c>
      <c r="V2" s="3" t="b">
        <v>1</v>
      </c>
    </row>
    <row r="3" spans="1:22" ht="45" x14ac:dyDescent="0.25">
      <c r="A3" s="3" t="s">
        <v>22</v>
      </c>
      <c r="B3" s="3">
        <v>1</v>
      </c>
      <c r="C3" s="4" t="s">
        <v>23</v>
      </c>
      <c r="D3" s="4" t="s">
        <v>24</v>
      </c>
      <c r="E3" s="3" t="s">
        <v>33</v>
      </c>
      <c r="F3" s="4" t="s">
        <v>34</v>
      </c>
      <c r="G3" s="5">
        <v>20</v>
      </c>
      <c r="H3" s="4" t="s">
        <v>27</v>
      </c>
      <c r="I3" s="6" t="s">
        <v>35</v>
      </c>
      <c r="J3" s="7">
        <v>8</v>
      </c>
      <c r="K3" s="8">
        <v>40</v>
      </c>
      <c r="L3" s="9"/>
      <c r="M3" s="9" t="s">
        <v>36</v>
      </c>
      <c r="N3" s="9" t="s">
        <v>30</v>
      </c>
      <c r="O3" s="9" t="s">
        <v>37</v>
      </c>
      <c r="P3" s="9" t="s">
        <v>38</v>
      </c>
      <c r="Q3" s="10">
        <v>17617</v>
      </c>
      <c r="R3" s="10">
        <v>1284</v>
      </c>
      <c r="S3" s="11">
        <v>366.91</v>
      </c>
      <c r="T3" s="3" t="b">
        <v>1</v>
      </c>
      <c r="U3" s="3" t="b">
        <v>0</v>
      </c>
      <c r="V3" s="3" t="b">
        <v>1</v>
      </c>
    </row>
    <row r="4" spans="1:22" ht="45" x14ac:dyDescent="0.25">
      <c r="A4" s="3" t="s">
        <v>22</v>
      </c>
      <c r="B4" s="3">
        <v>1</v>
      </c>
      <c r="C4" s="4" t="s">
        <v>23</v>
      </c>
      <c r="D4" s="4" t="s">
        <v>24</v>
      </c>
      <c r="E4" s="3" t="s">
        <v>39</v>
      </c>
      <c r="F4" s="4" t="s">
        <v>40</v>
      </c>
      <c r="G4" s="5">
        <v>26</v>
      </c>
      <c r="H4" s="4" t="s">
        <v>27</v>
      </c>
      <c r="I4" s="6" t="s">
        <v>28</v>
      </c>
      <c r="J4" s="7">
        <v>0</v>
      </c>
      <c r="K4" s="8">
        <v>0</v>
      </c>
      <c r="L4" s="9"/>
      <c r="M4" s="9" t="s">
        <v>41</v>
      </c>
      <c r="N4" s="9" t="s">
        <v>42</v>
      </c>
      <c r="O4" s="9" t="s">
        <v>43</v>
      </c>
      <c r="P4" s="9" t="s">
        <v>44</v>
      </c>
      <c r="Q4" s="10">
        <v>17617</v>
      </c>
      <c r="R4" s="10">
        <v>1284</v>
      </c>
      <c r="S4" s="11">
        <v>366.91</v>
      </c>
      <c r="T4" s="3" t="b">
        <v>1</v>
      </c>
      <c r="U4" s="3" t="b">
        <v>0</v>
      </c>
      <c r="V4" s="3" t="b">
        <v>1</v>
      </c>
    </row>
    <row r="5" spans="1:22" ht="45" x14ac:dyDescent="0.25">
      <c r="A5" s="3" t="s">
        <v>22</v>
      </c>
      <c r="B5" s="3">
        <v>1</v>
      </c>
      <c r="C5" s="4" t="s">
        <v>23</v>
      </c>
      <c r="D5" s="4" t="s">
        <v>24</v>
      </c>
      <c r="E5" s="3" t="s">
        <v>45</v>
      </c>
      <c r="F5" s="4" t="s">
        <v>46</v>
      </c>
      <c r="G5" s="5">
        <v>20</v>
      </c>
      <c r="H5" s="4" t="s">
        <v>27</v>
      </c>
      <c r="I5" s="6" t="s">
        <v>28</v>
      </c>
      <c r="J5" s="7">
        <v>0</v>
      </c>
      <c r="K5" s="8">
        <v>0</v>
      </c>
      <c r="L5" s="9"/>
      <c r="M5" s="9" t="s">
        <v>47</v>
      </c>
      <c r="N5" s="9" t="s">
        <v>48</v>
      </c>
      <c r="O5" s="9" t="s">
        <v>49</v>
      </c>
      <c r="P5" s="9" t="s">
        <v>50</v>
      </c>
      <c r="Q5" s="10">
        <v>17617</v>
      </c>
      <c r="R5" s="10">
        <v>1284</v>
      </c>
      <c r="S5" s="11">
        <v>366.91</v>
      </c>
      <c r="T5" s="3" t="b">
        <v>1</v>
      </c>
      <c r="U5" s="3" t="b">
        <v>0</v>
      </c>
      <c r="V5" s="3" t="b">
        <v>1</v>
      </c>
    </row>
    <row r="6" spans="1:22" ht="45" x14ac:dyDescent="0.25">
      <c r="A6" s="3" t="s">
        <v>22</v>
      </c>
      <c r="B6" s="3">
        <v>1</v>
      </c>
      <c r="C6" s="4" t="s">
        <v>23</v>
      </c>
      <c r="D6" s="4" t="s">
        <v>24</v>
      </c>
      <c r="E6" s="3" t="s">
        <v>51</v>
      </c>
      <c r="F6" s="4" t="s">
        <v>52</v>
      </c>
      <c r="G6" s="5">
        <v>26</v>
      </c>
      <c r="H6" s="4" t="s">
        <v>27</v>
      </c>
      <c r="I6" s="6" t="s">
        <v>28</v>
      </c>
      <c r="J6" s="7">
        <v>0</v>
      </c>
      <c r="K6" s="8">
        <v>0</v>
      </c>
      <c r="L6" s="9"/>
      <c r="M6" s="9" t="s">
        <v>53</v>
      </c>
      <c r="N6" s="9" t="s">
        <v>42</v>
      </c>
      <c r="O6" s="9" t="s">
        <v>54</v>
      </c>
      <c r="P6" s="9" t="s">
        <v>55</v>
      </c>
      <c r="Q6" s="10">
        <v>17617</v>
      </c>
      <c r="R6" s="10">
        <v>1284</v>
      </c>
      <c r="S6" s="11">
        <v>366.91</v>
      </c>
      <c r="T6" s="3" t="b">
        <v>1</v>
      </c>
      <c r="U6" s="3" t="b">
        <v>0</v>
      </c>
      <c r="V6" s="3" t="b">
        <v>1</v>
      </c>
    </row>
    <row r="7" spans="1:22" ht="45" x14ac:dyDescent="0.25">
      <c r="A7" s="3" t="s">
        <v>22</v>
      </c>
      <c r="B7" s="3">
        <v>1</v>
      </c>
      <c r="C7" s="4" t="s">
        <v>23</v>
      </c>
      <c r="D7" s="4" t="s">
        <v>24</v>
      </c>
      <c r="E7" s="3" t="s">
        <v>56</v>
      </c>
      <c r="F7" s="4" t="s">
        <v>57</v>
      </c>
      <c r="G7" s="5">
        <v>18</v>
      </c>
      <c r="H7" s="4" t="s">
        <v>27</v>
      </c>
      <c r="I7" s="6" t="s">
        <v>28</v>
      </c>
      <c r="J7" s="7">
        <v>0</v>
      </c>
      <c r="K7" s="8">
        <v>0</v>
      </c>
      <c r="L7" s="9"/>
      <c r="M7" s="9" t="s">
        <v>58</v>
      </c>
      <c r="N7" s="9" t="s">
        <v>30</v>
      </c>
      <c r="O7" s="9" t="s">
        <v>59</v>
      </c>
      <c r="P7" s="9" t="s">
        <v>60</v>
      </c>
      <c r="Q7" s="10">
        <v>17617</v>
      </c>
      <c r="R7" s="10">
        <v>1284</v>
      </c>
      <c r="S7" s="11">
        <v>366.91</v>
      </c>
      <c r="T7" s="3" t="b">
        <v>1</v>
      </c>
      <c r="U7" s="3" t="b">
        <v>0</v>
      </c>
      <c r="V7" s="3" t="b">
        <v>1</v>
      </c>
    </row>
    <row r="8" spans="1:22" ht="45" x14ac:dyDescent="0.25">
      <c r="A8" s="3" t="s">
        <v>22</v>
      </c>
      <c r="B8" s="3">
        <v>1</v>
      </c>
      <c r="C8" s="4" t="s">
        <v>23</v>
      </c>
      <c r="D8" s="4" t="s">
        <v>61</v>
      </c>
      <c r="E8" s="3" t="s">
        <v>62</v>
      </c>
      <c r="F8" s="4" t="s">
        <v>63</v>
      </c>
      <c r="G8" s="5">
        <v>10</v>
      </c>
      <c r="H8" s="4" t="s">
        <v>27</v>
      </c>
      <c r="I8" s="6" t="s">
        <v>35</v>
      </c>
      <c r="J8" s="7">
        <v>2</v>
      </c>
      <c r="K8" s="8">
        <v>20</v>
      </c>
      <c r="L8" s="9"/>
      <c r="M8" s="9" t="s">
        <v>64</v>
      </c>
      <c r="N8" s="9" t="s">
        <v>48</v>
      </c>
      <c r="O8" s="9" t="s">
        <v>65</v>
      </c>
      <c r="P8" s="9" t="s">
        <v>66</v>
      </c>
      <c r="Q8" s="10">
        <v>17191</v>
      </c>
      <c r="R8" s="10">
        <v>1953</v>
      </c>
      <c r="S8" s="11">
        <v>542.38</v>
      </c>
      <c r="T8" s="3" t="b">
        <v>1</v>
      </c>
      <c r="U8" s="3" t="b">
        <v>0</v>
      </c>
      <c r="V8" s="3" t="b">
        <v>1</v>
      </c>
    </row>
    <row r="9" spans="1:22" ht="45" x14ac:dyDescent="0.25">
      <c r="A9" s="3" t="s">
        <v>22</v>
      </c>
      <c r="B9" s="3">
        <v>1</v>
      </c>
      <c r="C9" s="4" t="s">
        <v>23</v>
      </c>
      <c r="D9" s="4" t="s">
        <v>61</v>
      </c>
      <c r="E9" s="3" t="s">
        <v>67</v>
      </c>
      <c r="F9" s="4" t="s">
        <v>68</v>
      </c>
      <c r="G9" s="5">
        <v>8</v>
      </c>
      <c r="H9" s="4" t="s">
        <v>27</v>
      </c>
      <c r="I9" s="6" t="s">
        <v>35</v>
      </c>
      <c r="J9" s="7">
        <v>2</v>
      </c>
      <c r="K9" s="8">
        <v>25</v>
      </c>
      <c r="L9" s="9"/>
      <c r="M9" s="9" t="s">
        <v>69</v>
      </c>
      <c r="N9" s="9" t="s">
        <v>48</v>
      </c>
      <c r="O9" s="9" t="s">
        <v>70</v>
      </c>
      <c r="P9" s="9" t="s">
        <v>71</v>
      </c>
      <c r="Q9" s="10">
        <v>17191</v>
      </c>
      <c r="R9" s="10">
        <v>1953</v>
      </c>
      <c r="S9" s="11">
        <v>542.38</v>
      </c>
      <c r="T9" s="3" t="b">
        <v>1</v>
      </c>
      <c r="U9" s="3" t="b">
        <v>0</v>
      </c>
      <c r="V9" s="3" t="b">
        <v>1</v>
      </c>
    </row>
    <row r="10" spans="1:22" ht="45" x14ac:dyDescent="0.25">
      <c r="A10" s="3" t="s">
        <v>22</v>
      </c>
      <c r="B10" s="3">
        <v>1</v>
      </c>
      <c r="C10" s="4" t="s">
        <v>23</v>
      </c>
      <c r="D10" s="4" t="s">
        <v>61</v>
      </c>
      <c r="E10" s="3" t="s">
        <v>72</v>
      </c>
      <c r="F10" s="4" t="s">
        <v>73</v>
      </c>
      <c r="G10" s="5">
        <v>8</v>
      </c>
      <c r="H10" s="4" t="s">
        <v>27</v>
      </c>
      <c r="I10" s="6" t="s">
        <v>28</v>
      </c>
      <c r="J10" s="7">
        <v>0</v>
      </c>
      <c r="K10" s="8">
        <v>0</v>
      </c>
      <c r="L10" s="9"/>
      <c r="M10" s="9" t="s">
        <v>74</v>
      </c>
      <c r="N10" s="9" t="s">
        <v>30</v>
      </c>
      <c r="O10" s="9" t="s">
        <v>75</v>
      </c>
      <c r="P10" s="9" t="s">
        <v>76</v>
      </c>
      <c r="Q10" s="10">
        <v>17191</v>
      </c>
      <c r="R10" s="10">
        <v>1953</v>
      </c>
      <c r="S10" s="11">
        <v>542.38</v>
      </c>
      <c r="T10" s="3" t="b">
        <v>1</v>
      </c>
      <c r="U10" s="3" t="b">
        <v>0</v>
      </c>
      <c r="V10" s="3" t="b">
        <v>1</v>
      </c>
    </row>
    <row r="11" spans="1:22" ht="45" x14ac:dyDescent="0.25">
      <c r="A11" s="3" t="s">
        <v>22</v>
      </c>
      <c r="B11" s="3">
        <v>1</v>
      </c>
      <c r="C11" s="4" t="s">
        <v>23</v>
      </c>
      <c r="D11" s="4" t="s">
        <v>61</v>
      </c>
      <c r="E11" s="3" t="s">
        <v>77</v>
      </c>
      <c r="F11" s="4" t="s">
        <v>78</v>
      </c>
      <c r="G11" s="5">
        <v>10</v>
      </c>
      <c r="H11" s="4" t="s">
        <v>27</v>
      </c>
      <c r="I11" s="6" t="s">
        <v>28</v>
      </c>
      <c r="J11" s="7">
        <v>0</v>
      </c>
      <c r="K11" s="8">
        <v>0</v>
      </c>
      <c r="L11" s="9"/>
      <c r="M11" s="9" t="s">
        <v>79</v>
      </c>
      <c r="N11" s="9" t="s">
        <v>30</v>
      </c>
      <c r="O11" s="9" t="s">
        <v>80</v>
      </c>
      <c r="P11" s="9" t="s">
        <v>81</v>
      </c>
      <c r="Q11" s="10">
        <v>17191</v>
      </c>
      <c r="R11" s="10">
        <v>1953</v>
      </c>
      <c r="S11" s="11">
        <v>542.38</v>
      </c>
      <c r="T11" s="3" t="b">
        <v>1</v>
      </c>
      <c r="U11" s="3" t="b">
        <v>0</v>
      </c>
      <c r="V11" s="3" t="b">
        <v>1</v>
      </c>
    </row>
    <row r="12" spans="1:22" ht="45" x14ac:dyDescent="0.25">
      <c r="A12" s="3" t="s">
        <v>22</v>
      </c>
      <c r="B12" s="3">
        <v>1</v>
      </c>
      <c r="C12" s="4" t="s">
        <v>23</v>
      </c>
      <c r="D12" s="4" t="s">
        <v>61</v>
      </c>
      <c r="E12" s="3" t="s">
        <v>82</v>
      </c>
      <c r="F12" s="4" t="s">
        <v>83</v>
      </c>
      <c r="G12" s="5">
        <v>12</v>
      </c>
      <c r="H12" s="4" t="s">
        <v>27</v>
      </c>
      <c r="I12" s="6" t="s">
        <v>28</v>
      </c>
      <c r="J12" s="7">
        <v>0</v>
      </c>
      <c r="K12" s="8">
        <v>0</v>
      </c>
      <c r="L12" s="9"/>
      <c r="M12" s="9" t="s">
        <v>84</v>
      </c>
      <c r="N12" s="9" t="s">
        <v>30</v>
      </c>
      <c r="O12" s="9" t="s">
        <v>85</v>
      </c>
      <c r="P12" s="9" t="s">
        <v>86</v>
      </c>
      <c r="Q12" s="10">
        <v>17191</v>
      </c>
      <c r="R12" s="10">
        <v>1953</v>
      </c>
      <c r="S12" s="11">
        <v>542.38</v>
      </c>
      <c r="T12" s="3" t="b">
        <v>1</v>
      </c>
      <c r="U12" s="3" t="b">
        <v>0</v>
      </c>
      <c r="V12" s="3" t="b">
        <v>1</v>
      </c>
    </row>
    <row r="13" spans="1:22" ht="45" x14ac:dyDescent="0.25">
      <c r="A13" s="3" t="s">
        <v>22</v>
      </c>
      <c r="B13" s="3">
        <v>1</v>
      </c>
      <c r="C13" s="4" t="s">
        <v>23</v>
      </c>
      <c r="D13" s="4" t="s">
        <v>61</v>
      </c>
      <c r="E13" s="3" t="s">
        <v>87</v>
      </c>
      <c r="F13" s="4" t="s">
        <v>88</v>
      </c>
      <c r="G13" s="5">
        <v>10</v>
      </c>
      <c r="H13" s="4" t="s">
        <v>27</v>
      </c>
      <c r="I13" s="6" t="s">
        <v>28</v>
      </c>
      <c r="J13" s="7">
        <v>0</v>
      </c>
      <c r="K13" s="8">
        <v>0</v>
      </c>
      <c r="L13" s="9"/>
      <c r="M13" s="9" t="s">
        <v>89</v>
      </c>
      <c r="N13" s="9" t="s">
        <v>30</v>
      </c>
      <c r="O13" s="9" t="s">
        <v>90</v>
      </c>
      <c r="P13" s="9" t="s">
        <v>91</v>
      </c>
      <c r="Q13" s="10">
        <v>17191</v>
      </c>
      <c r="R13" s="10">
        <v>1953</v>
      </c>
      <c r="S13" s="11">
        <v>542.38</v>
      </c>
      <c r="T13" s="3" t="b">
        <v>1</v>
      </c>
      <c r="U13" s="3" t="b">
        <v>0</v>
      </c>
      <c r="V13" s="3" t="b">
        <v>1</v>
      </c>
    </row>
    <row r="14" spans="1:22" ht="45" x14ac:dyDescent="0.25">
      <c r="A14" s="3" t="s">
        <v>22</v>
      </c>
      <c r="B14" s="3">
        <v>1</v>
      </c>
      <c r="C14" s="4" t="s">
        <v>23</v>
      </c>
      <c r="D14" s="4" t="s">
        <v>61</v>
      </c>
      <c r="E14" s="3" t="s">
        <v>92</v>
      </c>
      <c r="F14" s="4" t="s">
        <v>93</v>
      </c>
      <c r="G14" s="5">
        <v>12</v>
      </c>
      <c r="H14" s="4" t="s">
        <v>27</v>
      </c>
      <c r="I14" s="6" t="s">
        <v>28</v>
      </c>
      <c r="J14" s="7">
        <v>0</v>
      </c>
      <c r="K14" s="8">
        <v>0</v>
      </c>
      <c r="L14" s="9"/>
      <c r="M14" s="9" t="s">
        <v>94</v>
      </c>
      <c r="N14" s="9" t="s">
        <v>30</v>
      </c>
      <c r="O14" s="9" t="s">
        <v>95</v>
      </c>
      <c r="P14" s="9" t="s">
        <v>96</v>
      </c>
      <c r="Q14" s="10">
        <v>17191</v>
      </c>
      <c r="R14" s="10">
        <v>1953</v>
      </c>
      <c r="S14" s="11">
        <v>542.38</v>
      </c>
      <c r="T14" s="3" t="b">
        <v>1</v>
      </c>
      <c r="U14" s="3" t="b">
        <v>0</v>
      </c>
      <c r="V14" s="3" t="b">
        <v>1</v>
      </c>
    </row>
    <row r="15" spans="1:22" ht="45" x14ac:dyDescent="0.25">
      <c r="A15" s="3" t="s">
        <v>22</v>
      </c>
      <c r="B15" s="3">
        <v>1</v>
      </c>
      <c r="C15" s="4" t="s">
        <v>23</v>
      </c>
      <c r="D15" s="4" t="s">
        <v>61</v>
      </c>
      <c r="E15" s="3" t="s">
        <v>97</v>
      </c>
      <c r="F15" s="4" t="s">
        <v>98</v>
      </c>
      <c r="G15" s="5">
        <v>10</v>
      </c>
      <c r="H15" s="4" t="s">
        <v>27</v>
      </c>
      <c r="I15" s="6" t="s">
        <v>28</v>
      </c>
      <c r="J15" s="7">
        <v>0</v>
      </c>
      <c r="K15" s="8">
        <v>0</v>
      </c>
      <c r="L15" s="9"/>
      <c r="M15" s="9" t="s">
        <v>99</v>
      </c>
      <c r="N15" s="9" t="s">
        <v>30</v>
      </c>
      <c r="O15" s="9" t="s">
        <v>100</v>
      </c>
      <c r="P15" s="9" t="s">
        <v>101</v>
      </c>
      <c r="Q15" s="10">
        <v>17191</v>
      </c>
      <c r="R15" s="10">
        <v>1953</v>
      </c>
      <c r="S15" s="11">
        <v>542.38</v>
      </c>
      <c r="T15" s="3" t="b">
        <v>1</v>
      </c>
      <c r="U15" s="3" t="b">
        <v>0</v>
      </c>
      <c r="V15" s="3" t="b">
        <v>1</v>
      </c>
    </row>
    <row r="16" spans="1:22" ht="45" x14ac:dyDescent="0.25">
      <c r="A16" s="3" t="s">
        <v>22</v>
      </c>
      <c r="B16" s="3">
        <v>1</v>
      </c>
      <c r="C16" s="4" t="s">
        <v>23</v>
      </c>
      <c r="D16" s="4" t="s">
        <v>61</v>
      </c>
      <c r="E16" s="3" t="s">
        <v>102</v>
      </c>
      <c r="F16" s="4" t="s">
        <v>103</v>
      </c>
      <c r="G16" s="5">
        <v>8</v>
      </c>
      <c r="H16" s="4" t="s">
        <v>27</v>
      </c>
      <c r="I16" s="6" t="s">
        <v>28</v>
      </c>
      <c r="J16" s="7">
        <v>0</v>
      </c>
      <c r="K16" s="8">
        <v>0</v>
      </c>
      <c r="L16" s="9"/>
      <c r="M16" s="9" t="s">
        <v>104</v>
      </c>
      <c r="N16" s="9" t="s">
        <v>30</v>
      </c>
      <c r="O16" s="9" t="s">
        <v>105</v>
      </c>
      <c r="P16" s="9" t="s">
        <v>106</v>
      </c>
      <c r="Q16" s="10">
        <v>17191</v>
      </c>
      <c r="R16" s="10">
        <v>1953</v>
      </c>
      <c r="S16" s="11">
        <v>542.38</v>
      </c>
      <c r="T16" s="3" t="b">
        <v>1</v>
      </c>
      <c r="U16" s="3" t="b">
        <v>0</v>
      </c>
      <c r="V16" s="3" t="b">
        <v>1</v>
      </c>
    </row>
    <row r="17" spans="1:22" ht="45" x14ac:dyDescent="0.25">
      <c r="A17" s="3" t="s">
        <v>22</v>
      </c>
      <c r="B17" s="3">
        <v>1</v>
      </c>
      <c r="C17" s="4" t="s">
        <v>23</v>
      </c>
      <c r="D17" s="4" t="s">
        <v>61</v>
      </c>
      <c r="E17" s="3" t="s">
        <v>107</v>
      </c>
      <c r="F17" s="4" t="s">
        <v>108</v>
      </c>
      <c r="G17" s="5">
        <v>12</v>
      </c>
      <c r="H17" s="4" t="s">
        <v>27</v>
      </c>
      <c r="I17" s="6" t="s">
        <v>28</v>
      </c>
      <c r="J17" s="7">
        <v>0</v>
      </c>
      <c r="K17" s="8">
        <v>0</v>
      </c>
      <c r="L17" s="9"/>
      <c r="M17" s="9" t="s">
        <v>109</v>
      </c>
      <c r="N17" s="9" t="s">
        <v>30</v>
      </c>
      <c r="O17" s="9" t="s">
        <v>110</v>
      </c>
      <c r="P17" s="9" t="s">
        <v>111</v>
      </c>
      <c r="Q17" s="10">
        <v>17191</v>
      </c>
      <c r="R17" s="10">
        <v>1953</v>
      </c>
      <c r="S17" s="11">
        <v>542.38</v>
      </c>
      <c r="T17" s="3" t="b">
        <v>1</v>
      </c>
      <c r="U17" s="3" t="b">
        <v>0</v>
      </c>
      <c r="V17" s="3" t="b">
        <v>1</v>
      </c>
    </row>
    <row r="18" spans="1:22" ht="45" x14ac:dyDescent="0.25">
      <c r="A18" s="3" t="s">
        <v>22</v>
      </c>
      <c r="B18" s="3">
        <v>1</v>
      </c>
      <c r="C18" s="4" t="s">
        <v>23</v>
      </c>
      <c r="D18" s="4" t="s">
        <v>112</v>
      </c>
      <c r="E18" s="3" t="s">
        <v>113</v>
      </c>
      <c r="F18" s="4" t="s">
        <v>114</v>
      </c>
      <c r="G18" s="5">
        <v>14</v>
      </c>
      <c r="H18" s="4" t="s">
        <v>115</v>
      </c>
      <c r="I18" s="6" t="s">
        <v>28</v>
      </c>
      <c r="J18" s="7">
        <v>0</v>
      </c>
      <c r="K18" s="8">
        <v>0</v>
      </c>
      <c r="L18" s="9" t="s">
        <v>116</v>
      </c>
      <c r="M18" s="9" t="s">
        <v>117</v>
      </c>
      <c r="N18" s="9" t="s">
        <v>30</v>
      </c>
      <c r="O18" s="9" t="s">
        <v>118</v>
      </c>
      <c r="P18" s="9" t="s">
        <v>119</v>
      </c>
      <c r="Q18" s="10">
        <v>17916</v>
      </c>
      <c r="R18" s="10">
        <v>1349</v>
      </c>
      <c r="S18" s="11">
        <v>405.26</v>
      </c>
      <c r="T18" s="3" t="b">
        <v>1</v>
      </c>
      <c r="U18" s="3" t="b">
        <v>0</v>
      </c>
      <c r="V18" s="3" t="b">
        <v>1</v>
      </c>
    </row>
    <row r="19" spans="1:22" ht="45" x14ac:dyDescent="0.25">
      <c r="A19" s="3" t="s">
        <v>22</v>
      </c>
      <c r="B19" s="3">
        <v>1</v>
      </c>
      <c r="C19" s="4" t="s">
        <v>23</v>
      </c>
      <c r="D19" s="4" t="s">
        <v>112</v>
      </c>
      <c r="E19" s="3" t="s">
        <v>120</v>
      </c>
      <c r="F19" s="4" t="s">
        <v>121</v>
      </c>
      <c r="G19" s="5">
        <v>10</v>
      </c>
      <c r="H19" s="4" t="s">
        <v>115</v>
      </c>
      <c r="I19" s="6" t="s">
        <v>28</v>
      </c>
      <c r="J19" s="7">
        <v>0</v>
      </c>
      <c r="K19" s="8">
        <v>0</v>
      </c>
      <c r="L19" s="9" t="s">
        <v>122</v>
      </c>
      <c r="M19" s="9" t="s">
        <v>123</v>
      </c>
      <c r="N19" s="9" t="s">
        <v>30</v>
      </c>
      <c r="O19" s="9" t="s">
        <v>124</v>
      </c>
      <c r="P19" s="9" t="s">
        <v>125</v>
      </c>
      <c r="Q19" s="10">
        <v>17916</v>
      </c>
      <c r="R19" s="10">
        <v>1349</v>
      </c>
      <c r="S19" s="11">
        <v>405.26</v>
      </c>
      <c r="T19" s="3" t="b">
        <v>1</v>
      </c>
      <c r="U19" s="3" t="b">
        <v>0</v>
      </c>
      <c r="V19" s="3" t="b">
        <v>1</v>
      </c>
    </row>
    <row r="20" spans="1:22" ht="45" x14ac:dyDescent="0.25">
      <c r="A20" s="3" t="s">
        <v>22</v>
      </c>
      <c r="B20" s="3">
        <v>1</v>
      </c>
      <c r="C20" s="4" t="s">
        <v>23</v>
      </c>
      <c r="D20" s="4" t="s">
        <v>112</v>
      </c>
      <c r="E20" s="3" t="s">
        <v>126</v>
      </c>
      <c r="F20" s="4" t="s">
        <v>127</v>
      </c>
      <c r="G20" s="5">
        <v>24</v>
      </c>
      <c r="H20" s="4" t="s">
        <v>115</v>
      </c>
      <c r="I20" s="6" t="s">
        <v>28</v>
      </c>
      <c r="J20" s="7">
        <v>0</v>
      </c>
      <c r="K20" s="8">
        <v>0</v>
      </c>
      <c r="L20" s="9" t="s">
        <v>128</v>
      </c>
      <c r="M20" s="9" t="s">
        <v>129</v>
      </c>
      <c r="N20" s="9" t="s">
        <v>30</v>
      </c>
      <c r="O20" s="9" t="s">
        <v>130</v>
      </c>
      <c r="P20" s="9" t="s">
        <v>131</v>
      </c>
      <c r="Q20" s="10">
        <v>17916</v>
      </c>
      <c r="R20" s="10">
        <v>1349</v>
      </c>
      <c r="S20" s="11">
        <v>405.26</v>
      </c>
      <c r="T20" s="3" t="b">
        <v>1</v>
      </c>
      <c r="U20" s="3" t="b">
        <v>0</v>
      </c>
      <c r="V20" s="3" t="b">
        <v>1</v>
      </c>
    </row>
    <row r="21" spans="1:22" ht="45" x14ac:dyDescent="0.25">
      <c r="A21" s="3" t="s">
        <v>22</v>
      </c>
      <c r="B21" s="3">
        <v>1</v>
      </c>
      <c r="C21" s="4" t="s">
        <v>23</v>
      </c>
      <c r="D21" s="4" t="s">
        <v>112</v>
      </c>
      <c r="E21" s="3" t="s">
        <v>132</v>
      </c>
      <c r="F21" s="4" t="s">
        <v>133</v>
      </c>
      <c r="G21" s="5">
        <v>14</v>
      </c>
      <c r="H21" s="4" t="s">
        <v>115</v>
      </c>
      <c r="I21" s="6" t="s">
        <v>28</v>
      </c>
      <c r="J21" s="7">
        <v>0</v>
      </c>
      <c r="K21" s="8">
        <v>0</v>
      </c>
      <c r="L21" s="9" t="s">
        <v>134</v>
      </c>
      <c r="M21" s="9" t="s">
        <v>135</v>
      </c>
      <c r="N21" s="9" t="s">
        <v>30</v>
      </c>
      <c r="O21" s="9" t="s">
        <v>136</v>
      </c>
      <c r="P21" s="9" t="s">
        <v>137</v>
      </c>
      <c r="Q21" s="10">
        <v>17916</v>
      </c>
      <c r="R21" s="10">
        <v>1349</v>
      </c>
      <c r="S21" s="11">
        <v>405.26</v>
      </c>
      <c r="T21" s="3" t="b">
        <v>1</v>
      </c>
      <c r="U21" s="3" t="b">
        <v>0</v>
      </c>
      <c r="V21" s="3" t="b">
        <v>1</v>
      </c>
    </row>
    <row r="22" spans="1:22" ht="45" x14ac:dyDescent="0.25">
      <c r="A22" s="3" t="s">
        <v>22</v>
      </c>
      <c r="B22" s="3">
        <v>1</v>
      </c>
      <c r="C22" s="4" t="s">
        <v>23</v>
      </c>
      <c r="D22" s="4" t="s">
        <v>112</v>
      </c>
      <c r="E22" s="3" t="s">
        <v>138</v>
      </c>
      <c r="F22" s="4" t="s">
        <v>139</v>
      </c>
      <c r="G22" s="5">
        <v>14</v>
      </c>
      <c r="H22" s="4" t="s">
        <v>115</v>
      </c>
      <c r="I22" s="6" t="s">
        <v>28</v>
      </c>
      <c r="J22" s="7">
        <v>0</v>
      </c>
      <c r="K22" s="8">
        <v>0</v>
      </c>
      <c r="L22" s="9" t="s">
        <v>140</v>
      </c>
      <c r="M22" s="9" t="s">
        <v>141</v>
      </c>
      <c r="N22" s="9" t="s">
        <v>30</v>
      </c>
      <c r="O22" s="9" t="s">
        <v>142</v>
      </c>
      <c r="P22" s="9" t="s">
        <v>143</v>
      </c>
      <c r="Q22" s="10">
        <v>17916</v>
      </c>
      <c r="R22" s="10">
        <v>1349</v>
      </c>
      <c r="S22" s="11">
        <v>405.26</v>
      </c>
      <c r="T22" s="3" t="b">
        <v>1</v>
      </c>
      <c r="U22" s="3" t="b">
        <v>0</v>
      </c>
      <c r="V22" s="3" t="b">
        <v>1</v>
      </c>
    </row>
    <row r="23" spans="1:22" ht="45" x14ac:dyDescent="0.25">
      <c r="A23" s="3" t="s">
        <v>22</v>
      </c>
      <c r="B23" s="3">
        <v>1</v>
      </c>
      <c r="C23" s="4" t="s">
        <v>23</v>
      </c>
      <c r="D23" s="4" t="s">
        <v>112</v>
      </c>
      <c r="E23" s="3" t="s">
        <v>144</v>
      </c>
      <c r="F23" s="4" t="s">
        <v>145</v>
      </c>
      <c r="G23" s="5">
        <v>10</v>
      </c>
      <c r="H23" s="4" t="s">
        <v>115</v>
      </c>
      <c r="I23" s="6" t="s">
        <v>28</v>
      </c>
      <c r="J23" s="7">
        <v>0</v>
      </c>
      <c r="K23" s="8">
        <v>0</v>
      </c>
      <c r="L23" s="9" t="s">
        <v>146</v>
      </c>
      <c r="M23" s="9" t="s">
        <v>147</v>
      </c>
      <c r="N23" s="9" t="s">
        <v>30</v>
      </c>
      <c r="O23" s="9" t="s">
        <v>148</v>
      </c>
      <c r="P23" s="9" t="s">
        <v>149</v>
      </c>
      <c r="Q23" s="10">
        <v>17916</v>
      </c>
      <c r="R23" s="10">
        <v>1349</v>
      </c>
      <c r="S23" s="11">
        <v>405.26</v>
      </c>
      <c r="T23" s="3" t="b">
        <v>1</v>
      </c>
      <c r="U23" s="3" t="b">
        <v>0</v>
      </c>
      <c r="V23" s="3" t="b">
        <v>1</v>
      </c>
    </row>
    <row r="24" spans="1:22" ht="45" x14ac:dyDescent="0.25">
      <c r="A24" s="3" t="s">
        <v>22</v>
      </c>
      <c r="B24" s="3">
        <v>1</v>
      </c>
      <c r="C24" s="4" t="s">
        <v>23</v>
      </c>
      <c r="D24" s="4" t="s">
        <v>150</v>
      </c>
      <c r="E24" s="3" t="s">
        <v>151</v>
      </c>
      <c r="F24" s="4" t="s">
        <v>152</v>
      </c>
      <c r="G24" s="5">
        <v>26</v>
      </c>
      <c r="H24" s="4" t="s">
        <v>27</v>
      </c>
      <c r="I24" s="6" t="s">
        <v>35</v>
      </c>
      <c r="J24" s="7">
        <v>2</v>
      </c>
      <c r="K24" s="8">
        <v>7.7</v>
      </c>
      <c r="L24" s="9" t="s">
        <v>153</v>
      </c>
      <c r="M24" s="9" t="s">
        <v>154</v>
      </c>
      <c r="N24" s="9" t="s">
        <v>48</v>
      </c>
      <c r="O24" s="9" t="s">
        <v>155</v>
      </c>
      <c r="P24" s="9" t="s">
        <v>156</v>
      </c>
      <c r="Q24" s="10">
        <v>17220</v>
      </c>
      <c r="R24" s="10">
        <v>2486</v>
      </c>
      <c r="S24" s="11">
        <v>844.38</v>
      </c>
      <c r="T24" s="3" t="b">
        <v>1</v>
      </c>
      <c r="U24" s="3" t="b">
        <v>0</v>
      </c>
      <c r="V24" s="3" t="b">
        <v>1</v>
      </c>
    </row>
    <row r="25" spans="1:22" ht="45" x14ac:dyDescent="0.25">
      <c r="A25" s="3" t="s">
        <v>22</v>
      </c>
      <c r="B25" s="3">
        <v>1</v>
      </c>
      <c r="C25" s="4" t="s">
        <v>23</v>
      </c>
      <c r="D25" s="4" t="s">
        <v>150</v>
      </c>
      <c r="E25" s="3" t="s">
        <v>157</v>
      </c>
      <c r="F25" s="4" t="s">
        <v>158</v>
      </c>
      <c r="G25" s="5">
        <v>20</v>
      </c>
      <c r="H25" s="4" t="s">
        <v>27</v>
      </c>
      <c r="I25" s="6" t="s">
        <v>35</v>
      </c>
      <c r="J25" s="7">
        <v>2</v>
      </c>
      <c r="K25" s="8">
        <v>10</v>
      </c>
      <c r="L25" s="9" t="s">
        <v>159</v>
      </c>
      <c r="M25" s="9" t="s">
        <v>160</v>
      </c>
      <c r="N25" s="9" t="s">
        <v>48</v>
      </c>
      <c r="O25" s="9" t="s">
        <v>161</v>
      </c>
      <c r="P25" s="9" t="s">
        <v>162</v>
      </c>
      <c r="Q25" s="10">
        <v>17220</v>
      </c>
      <c r="R25" s="10">
        <v>2486</v>
      </c>
      <c r="S25" s="11">
        <v>844.38</v>
      </c>
      <c r="T25" s="3" t="b">
        <v>1</v>
      </c>
      <c r="U25" s="3" t="b">
        <v>0</v>
      </c>
      <c r="V25" s="3" t="b">
        <v>1</v>
      </c>
    </row>
    <row r="26" spans="1:22" ht="45" x14ac:dyDescent="0.25">
      <c r="A26" s="3" t="s">
        <v>22</v>
      </c>
      <c r="B26" s="3">
        <v>1</v>
      </c>
      <c r="C26" s="4" t="s">
        <v>23</v>
      </c>
      <c r="D26" s="4" t="s">
        <v>150</v>
      </c>
      <c r="E26" s="3" t="s">
        <v>163</v>
      </c>
      <c r="F26" s="4" t="s">
        <v>164</v>
      </c>
      <c r="G26" s="5">
        <v>14</v>
      </c>
      <c r="H26" s="4" t="s">
        <v>27</v>
      </c>
      <c r="I26" s="6" t="s">
        <v>35</v>
      </c>
      <c r="J26" s="7">
        <v>2</v>
      </c>
      <c r="K26" s="8">
        <v>14.3</v>
      </c>
      <c r="L26" s="9" t="s">
        <v>165</v>
      </c>
      <c r="M26" s="9" t="s">
        <v>166</v>
      </c>
      <c r="N26" s="9" t="s">
        <v>48</v>
      </c>
      <c r="O26" s="9" t="s">
        <v>167</v>
      </c>
      <c r="P26" s="9" t="s">
        <v>168</v>
      </c>
      <c r="Q26" s="10">
        <v>17220</v>
      </c>
      <c r="R26" s="10">
        <v>2486</v>
      </c>
      <c r="S26" s="11">
        <v>844.38</v>
      </c>
      <c r="T26" s="3" t="b">
        <v>1</v>
      </c>
      <c r="U26" s="3" t="b">
        <v>0</v>
      </c>
      <c r="V26" s="3" t="b">
        <v>1</v>
      </c>
    </row>
    <row r="27" spans="1:22" ht="45" x14ac:dyDescent="0.25">
      <c r="A27" s="3" t="s">
        <v>22</v>
      </c>
      <c r="B27" s="3">
        <v>1</v>
      </c>
      <c r="C27" s="4" t="s">
        <v>23</v>
      </c>
      <c r="D27" s="4" t="s">
        <v>150</v>
      </c>
      <c r="E27" s="3" t="s">
        <v>169</v>
      </c>
      <c r="F27" s="4" t="s">
        <v>170</v>
      </c>
      <c r="G27" s="5">
        <v>12</v>
      </c>
      <c r="H27" s="4" t="s">
        <v>27</v>
      </c>
      <c r="I27" s="6" t="s">
        <v>35</v>
      </c>
      <c r="J27" s="7">
        <v>1</v>
      </c>
      <c r="K27" s="8">
        <v>8.3000000000000007</v>
      </c>
      <c r="L27" s="9" t="s">
        <v>171</v>
      </c>
      <c r="M27" s="9" t="s">
        <v>172</v>
      </c>
      <c r="N27" s="9" t="s">
        <v>48</v>
      </c>
      <c r="O27" s="9" t="s">
        <v>173</v>
      </c>
      <c r="P27" s="9" t="s">
        <v>174</v>
      </c>
      <c r="Q27" s="10">
        <v>17220</v>
      </c>
      <c r="R27" s="10">
        <v>2486</v>
      </c>
      <c r="S27" s="11">
        <v>844.38</v>
      </c>
      <c r="T27" s="3" t="b">
        <v>1</v>
      </c>
      <c r="U27" s="3" t="b">
        <v>0</v>
      </c>
      <c r="V27" s="3" t="b">
        <v>1</v>
      </c>
    </row>
    <row r="28" spans="1:22" ht="45" x14ac:dyDescent="0.25">
      <c r="A28" s="3" t="s">
        <v>22</v>
      </c>
      <c r="B28" s="3">
        <v>1</v>
      </c>
      <c r="C28" s="4" t="s">
        <v>23</v>
      </c>
      <c r="D28" s="4" t="s">
        <v>150</v>
      </c>
      <c r="E28" s="3" t="s">
        <v>175</v>
      </c>
      <c r="F28" s="4" t="s">
        <v>176</v>
      </c>
      <c r="G28" s="5">
        <v>12</v>
      </c>
      <c r="H28" s="4" t="s">
        <v>27</v>
      </c>
      <c r="I28" s="6" t="s">
        <v>35</v>
      </c>
      <c r="J28" s="7">
        <v>1</v>
      </c>
      <c r="K28" s="8">
        <v>8.3000000000000007</v>
      </c>
      <c r="L28" s="9" t="s">
        <v>177</v>
      </c>
      <c r="M28" s="9" t="s">
        <v>178</v>
      </c>
      <c r="N28" s="9" t="s">
        <v>48</v>
      </c>
      <c r="O28" s="9" t="s">
        <v>179</v>
      </c>
      <c r="P28" s="9" t="s">
        <v>180</v>
      </c>
      <c r="Q28" s="10">
        <v>17220</v>
      </c>
      <c r="R28" s="10">
        <v>2486</v>
      </c>
      <c r="S28" s="11">
        <v>844.38</v>
      </c>
      <c r="T28" s="3" t="b">
        <v>1</v>
      </c>
      <c r="U28" s="3" t="b">
        <v>0</v>
      </c>
      <c r="V28" s="3" t="b">
        <v>1</v>
      </c>
    </row>
    <row r="29" spans="1:22" ht="45" x14ac:dyDescent="0.25">
      <c r="A29" s="3" t="s">
        <v>22</v>
      </c>
      <c r="B29" s="3">
        <v>1</v>
      </c>
      <c r="C29" s="4" t="s">
        <v>23</v>
      </c>
      <c r="D29" s="4" t="s">
        <v>150</v>
      </c>
      <c r="E29" s="3" t="s">
        <v>181</v>
      </c>
      <c r="F29" s="4" t="s">
        <v>182</v>
      </c>
      <c r="G29" s="5">
        <v>8</v>
      </c>
      <c r="H29" s="4" t="s">
        <v>27</v>
      </c>
      <c r="I29" s="6" t="s">
        <v>35</v>
      </c>
      <c r="J29" s="7">
        <v>1</v>
      </c>
      <c r="K29" s="8">
        <v>12.5</v>
      </c>
      <c r="L29" s="9" t="s">
        <v>183</v>
      </c>
      <c r="M29" s="9" t="s">
        <v>184</v>
      </c>
      <c r="N29" s="9" t="s">
        <v>48</v>
      </c>
      <c r="O29" s="9" t="s">
        <v>185</v>
      </c>
      <c r="P29" s="9" t="s">
        <v>186</v>
      </c>
      <c r="Q29" s="10">
        <v>17220</v>
      </c>
      <c r="R29" s="10">
        <v>2486</v>
      </c>
      <c r="S29" s="11">
        <v>844.38</v>
      </c>
      <c r="T29" s="3" t="b">
        <v>1</v>
      </c>
      <c r="U29" s="3" t="b">
        <v>0</v>
      </c>
      <c r="V29" s="3" t="b">
        <v>1</v>
      </c>
    </row>
    <row r="30" spans="1:22" ht="45" x14ac:dyDescent="0.25">
      <c r="A30" s="3" t="s">
        <v>22</v>
      </c>
      <c r="B30" s="3">
        <v>1</v>
      </c>
      <c r="C30" s="4" t="s">
        <v>23</v>
      </c>
      <c r="D30" s="4" t="s">
        <v>150</v>
      </c>
      <c r="E30" s="3" t="s">
        <v>187</v>
      </c>
      <c r="F30" s="4" t="s">
        <v>188</v>
      </c>
      <c r="G30" s="5">
        <v>14</v>
      </c>
      <c r="H30" s="4" t="s">
        <v>27</v>
      </c>
      <c r="I30" s="6" t="s">
        <v>35</v>
      </c>
      <c r="J30" s="7">
        <v>1</v>
      </c>
      <c r="K30" s="8">
        <v>7.1</v>
      </c>
      <c r="L30" s="9" t="s">
        <v>189</v>
      </c>
      <c r="M30" s="9" t="s">
        <v>190</v>
      </c>
      <c r="N30" s="9" t="s">
        <v>48</v>
      </c>
      <c r="O30" s="9" t="s">
        <v>191</v>
      </c>
      <c r="P30" s="9" t="s">
        <v>192</v>
      </c>
      <c r="Q30" s="10">
        <v>17220</v>
      </c>
      <c r="R30" s="10">
        <v>2486</v>
      </c>
      <c r="S30" s="11">
        <v>844.38</v>
      </c>
      <c r="T30" s="3" t="b">
        <v>1</v>
      </c>
      <c r="U30" s="3" t="b">
        <v>0</v>
      </c>
      <c r="V30" s="3" t="b">
        <v>1</v>
      </c>
    </row>
    <row r="31" spans="1:22" ht="45" x14ac:dyDescent="0.25">
      <c r="A31" s="3" t="s">
        <v>22</v>
      </c>
      <c r="B31" s="3">
        <v>1</v>
      </c>
      <c r="C31" s="4" t="s">
        <v>23</v>
      </c>
      <c r="D31" s="4" t="s">
        <v>150</v>
      </c>
      <c r="E31" s="3" t="s">
        <v>193</v>
      </c>
      <c r="F31" s="4" t="s">
        <v>194</v>
      </c>
      <c r="G31" s="5">
        <v>16</v>
      </c>
      <c r="H31" s="4" t="s">
        <v>27</v>
      </c>
      <c r="I31" s="6" t="s">
        <v>35</v>
      </c>
      <c r="J31" s="7">
        <v>5</v>
      </c>
      <c r="K31" s="8">
        <v>31.2</v>
      </c>
      <c r="L31" s="9" t="s">
        <v>195</v>
      </c>
      <c r="M31" s="9" t="s">
        <v>196</v>
      </c>
      <c r="N31" s="9" t="s">
        <v>48</v>
      </c>
      <c r="O31" s="9" t="s">
        <v>197</v>
      </c>
      <c r="P31" s="9" t="s">
        <v>198</v>
      </c>
      <c r="Q31" s="10">
        <v>17220</v>
      </c>
      <c r="R31" s="10">
        <v>2486</v>
      </c>
      <c r="S31" s="11">
        <v>844.38</v>
      </c>
      <c r="T31" s="3" t="b">
        <v>1</v>
      </c>
      <c r="U31" s="3" t="b">
        <v>0</v>
      </c>
      <c r="V31" s="3" t="b">
        <v>1</v>
      </c>
    </row>
    <row r="32" spans="1:22" ht="45" x14ac:dyDescent="0.25">
      <c r="A32" s="3" t="s">
        <v>22</v>
      </c>
      <c r="B32" s="3">
        <v>1</v>
      </c>
      <c r="C32" s="4" t="s">
        <v>23</v>
      </c>
      <c r="D32" s="4" t="s">
        <v>150</v>
      </c>
      <c r="E32" s="3" t="s">
        <v>199</v>
      </c>
      <c r="F32" s="4" t="s">
        <v>200</v>
      </c>
      <c r="G32" s="5">
        <v>14</v>
      </c>
      <c r="H32" s="4" t="s">
        <v>27</v>
      </c>
      <c r="I32" s="6" t="s">
        <v>35</v>
      </c>
      <c r="J32" s="7">
        <v>1</v>
      </c>
      <c r="K32" s="8">
        <v>7.1</v>
      </c>
      <c r="L32" s="9" t="s">
        <v>201</v>
      </c>
      <c r="M32" s="9" t="s">
        <v>202</v>
      </c>
      <c r="N32" s="9" t="s">
        <v>48</v>
      </c>
      <c r="O32" s="9" t="s">
        <v>203</v>
      </c>
      <c r="P32" s="9" t="s">
        <v>204</v>
      </c>
      <c r="Q32" s="10">
        <v>17220</v>
      </c>
      <c r="R32" s="10">
        <v>2486</v>
      </c>
      <c r="S32" s="11">
        <v>844.38</v>
      </c>
      <c r="T32" s="3" t="b">
        <v>1</v>
      </c>
      <c r="U32" s="3" t="b">
        <v>0</v>
      </c>
      <c r="V32" s="3" t="b">
        <v>1</v>
      </c>
    </row>
    <row r="33" spans="1:22" ht="45" x14ac:dyDescent="0.25">
      <c r="A33" s="3" t="s">
        <v>22</v>
      </c>
      <c r="B33" s="3">
        <v>1</v>
      </c>
      <c r="C33" s="4" t="s">
        <v>23</v>
      </c>
      <c r="D33" s="4" t="s">
        <v>150</v>
      </c>
      <c r="E33" s="3" t="s">
        <v>205</v>
      </c>
      <c r="F33" s="4" t="s">
        <v>206</v>
      </c>
      <c r="G33" s="5">
        <v>18</v>
      </c>
      <c r="H33" s="4" t="s">
        <v>27</v>
      </c>
      <c r="I33" s="6" t="s">
        <v>35</v>
      </c>
      <c r="J33" s="7">
        <v>3</v>
      </c>
      <c r="K33" s="8">
        <v>16.7</v>
      </c>
      <c r="L33" s="9" t="s">
        <v>207</v>
      </c>
      <c r="M33" s="9" t="s">
        <v>208</v>
      </c>
      <c r="N33" s="9" t="s">
        <v>48</v>
      </c>
      <c r="O33" s="9" t="s">
        <v>209</v>
      </c>
      <c r="P33" s="9" t="s">
        <v>210</v>
      </c>
      <c r="Q33" s="10">
        <v>17220</v>
      </c>
      <c r="R33" s="10">
        <v>2486</v>
      </c>
      <c r="S33" s="11">
        <v>844.38</v>
      </c>
      <c r="T33" s="3" t="b">
        <v>1</v>
      </c>
      <c r="U33" s="3" t="b">
        <v>0</v>
      </c>
      <c r="V33" s="3" t="b">
        <v>1</v>
      </c>
    </row>
    <row r="34" spans="1:22" ht="45" x14ac:dyDescent="0.25">
      <c r="A34" s="3" t="s">
        <v>22</v>
      </c>
      <c r="B34" s="3">
        <v>1</v>
      </c>
      <c r="C34" s="4" t="s">
        <v>23</v>
      </c>
      <c r="D34" s="4" t="s">
        <v>150</v>
      </c>
      <c r="E34" s="3" t="s">
        <v>211</v>
      </c>
      <c r="F34" s="4" t="s">
        <v>212</v>
      </c>
      <c r="G34" s="5">
        <v>18</v>
      </c>
      <c r="H34" s="4" t="s">
        <v>213</v>
      </c>
      <c r="I34" s="6"/>
      <c r="J34" s="7">
        <v>0</v>
      </c>
      <c r="K34" s="8">
        <v>0</v>
      </c>
      <c r="L34" s="9" t="s">
        <v>214</v>
      </c>
      <c r="M34" s="9"/>
      <c r="N34" s="9"/>
      <c r="O34" s="9"/>
      <c r="P34" s="9"/>
      <c r="Q34" s="10">
        <v>17220</v>
      </c>
      <c r="R34" s="10">
        <v>2486</v>
      </c>
      <c r="S34" s="11">
        <v>844.38</v>
      </c>
      <c r="T34" s="3" t="b">
        <v>1</v>
      </c>
      <c r="U34" s="3" t="b">
        <v>0</v>
      </c>
      <c r="V34" s="3" t="b">
        <v>1</v>
      </c>
    </row>
    <row r="35" spans="1:22" ht="45" x14ac:dyDescent="0.25">
      <c r="A35" s="3" t="s">
        <v>22</v>
      </c>
      <c r="B35" s="3">
        <v>1</v>
      </c>
      <c r="C35" s="4" t="s">
        <v>23</v>
      </c>
      <c r="D35" s="4" t="s">
        <v>150</v>
      </c>
      <c r="E35" s="3" t="s">
        <v>215</v>
      </c>
      <c r="F35" s="4" t="s">
        <v>216</v>
      </c>
      <c r="G35" s="5">
        <v>14</v>
      </c>
      <c r="H35" s="4" t="s">
        <v>27</v>
      </c>
      <c r="I35" s="6" t="s">
        <v>35</v>
      </c>
      <c r="J35" s="7">
        <v>1</v>
      </c>
      <c r="K35" s="8">
        <v>7.1</v>
      </c>
      <c r="L35" s="9" t="s">
        <v>217</v>
      </c>
      <c r="M35" s="9" t="s">
        <v>218</v>
      </c>
      <c r="N35" s="9" t="s">
        <v>48</v>
      </c>
      <c r="O35" s="9" t="s">
        <v>219</v>
      </c>
      <c r="P35" s="9" t="s">
        <v>220</v>
      </c>
      <c r="Q35" s="10">
        <v>17220</v>
      </c>
      <c r="R35" s="10">
        <v>2486</v>
      </c>
      <c r="S35" s="11">
        <v>844.38</v>
      </c>
      <c r="T35" s="3" t="b">
        <v>1</v>
      </c>
      <c r="U35" s="3" t="b">
        <v>0</v>
      </c>
      <c r="V35" s="3" t="b">
        <v>1</v>
      </c>
    </row>
    <row r="36" spans="1:22" ht="45" x14ac:dyDescent="0.25">
      <c r="A36" s="3" t="s">
        <v>22</v>
      </c>
      <c r="B36" s="3">
        <v>1</v>
      </c>
      <c r="C36" s="4" t="s">
        <v>23</v>
      </c>
      <c r="D36" s="4" t="s">
        <v>221</v>
      </c>
      <c r="E36" s="3" t="s">
        <v>222</v>
      </c>
      <c r="F36" s="4" t="s">
        <v>223</v>
      </c>
      <c r="G36" s="5">
        <v>12</v>
      </c>
      <c r="H36" s="4" t="s">
        <v>27</v>
      </c>
      <c r="I36" s="6" t="s">
        <v>28</v>
      </c>
      <c r="J36" s="7">
        <v>0</v>
      </c>
      <c r="K36" s="8">
        <v>0</v>
      </c>
      <c r="L36" s="9"/>
      <c r="M36" s="9" t="s">
        <v>224</v>
      </c>
      <c r="N36" s="9" t="s">
        <v>30</v>
      </c>
      <c r="O36" s="9" t="s">
        <v>225</v>
      </c>
      <c r="P36" s="9" t="s">
        <v>226</v>
      </c>
      <c r="Q36" s="10">
        <v>17210</v>
      </c>
      <c r="R36" s="10">
        <v>2640</v>
      </c>
      <c r="S36" s="11">
        <v>929.49</v>
      </c>
      <c r="T36" s="3" t="b">
        <v>1</v>
      </c>
      <c r="U36" s="3" t="b">
        <v>0</v>
      </c>
      <c r="V36" s="3" t="b">
        <v>1</v>
      </c>
    </row>
    <row r="37" spans="1:22" ht="45" x14ac:dyDescent="0.25">
      <c r="A37" s="3" t="s">
        <v>22</v>
      </c>
      <c r="B37" s="3">
        <v>1</v>
      </c>
      <c r="C37" s="4" t="s">
        <v>23</v>
      </c>
      <c r="D37" s="4" t="s">
        <v>221</v>
      </c>
      <c r="E37" s="3" t="s">
        <v>227</v>
      </c>
      <c r="F37" s="4" t="s">
        <v>228</v>
      </c>
      <c r="G37" s="5">
        <v>10</v>
      </c>
      <c r="H37" s="4" t="s">
        <v>27</v>
      </c>
      <c r="I37" s="6" t="s">
        <v>28</v>
      </c>
      <c r="J37" s="7">
        <v>0</v>
      </c>
      <c r="K37" s="8">
        <v>0</v>
      </c>
      <c r="L37" s="9"/>
      <c r="M37" s="9" t="s">
        <v>229</v>
      </c>
      <c r="N37" s="9" t="s">
        <v>30</v>
      </c>
      <c r="O37" s="9" t="s">
        <v>230</v>
      </c>
      <c r="P37" s="9" t="s">
        <v>231</v>
      </c>
      <c r="Q37" s="10">
        <v>17210</v>
      </c>
      <c r="R37" s="10">
        <v>2640</v>
      </c>
      <c r="S37" s="11">
        <v>929.49</v>
      </c>
      <c r="T37" s="3" t="b">
        <v>1</v>
      </c>
      <c r="U37" s="3" t="b">
        <v>0</v>
      </c>
      <c r="V37" s="3" t="b">
        <v>1</v>
      </c>
    </row>
    <row r="38" spans="1:22" ht="45" x14ac:dyDescent="0.25">
      <c r="A38" s="3" t="s">
        <v>22</v>
      </c>
      <c r="B38" s="3">
        <v>1</v>
      </c>
      <c r="C38" s="4" t="s">
        <v>23</v>
      </c>
      <c r="D38" s="4" t="s">
        <v>221</v>
      </c>
      <c r="E38" s="3" t="s">
        <v>232</v>
      </c>
      <c r="F38" s="4" t="s">
        <v>233</v>
      </c>
      <c r="G38" s="5">
        <v>8</v>
      </c>
      <c r="H38" s="4" t="s">
        <v>27</v>
      </c>
      <c r="I38" s="6" t="s">
        <v>28</v>
      </c>
      <c r="J38" s="7">
        <v>0</v>
      </c>
      <c r="K38" s="8">
        <v>0</v>
      </c>
      <c r="L38" s="9"/>
      <c r="M38" s="9" t="s">
        <v>234</v>
      </c>
      <c r="N38" s="9" t="s">
        <v>30</v>
      </c>
      <c r="O38" s="9" t="s">
        <v>235</v>
      </c>
      <c r="P38" s="9" t="s">
        <v>236</v>
      </c>
      <c r="Q38" s="10">
        <v>17210</v>
      </c>
      <c r="R38" s="10">
        <v>2640</v>
      </c>
      <c r="S38" s="11">
        <v>929.49</v>
      </c>
      <c r="T38" s="3" t="b">
        <v>1</v>
      </c>
      <c r="U38" s="3" t="b">
        <v>0</v>
      </c>
      <c r="V38" s="3" t="b">
        <v>1</v>
      </c>
    </row>
    <row r="39" spans="1:22" ht="45" x14ac:dyDescent="0.25">
      <c r="A39" s="3" t="s">
        <v>22</v>
      </c>
      <c r="B39" s="3">
        <v>1</v>
      </c>
      <c r="C39" s="4" t="s">
        <v>23</v>
      </c>
      <c r="D39" s="4" t="s">
        <v>221</v>
      </c>
      <c r="E39" s="3" t="s">
        <v>237</v>
      </c>
      <c r="F39" s="4" t="s">
        <v>238</v>
      </c>
      <c r="G39" s="5">
        <v>10</v>
      </c>
      <c r="H39" s="4" t="s">
        <v>27</v>
      </c>
      <c r="I39" s="6" t="s">
        <v>28</v>
      </c>
      <c r="J39" s="7">
        <v>0</v>
      </c>
      <c r="K39" s="8">
        <v>0</v>
      </c>
      <c r="L39" s="9"/>
      <c r="M39" s="9" t="s">
        <v>239</v>
      </c>
      <c r="N39" s="9" t="s">
        <v>30</v>
      </c>
      <c r="O39" s="9" t="s">
        <v>240</v>
      </c>
      <c r="P39" s="9" t="s">
        <v>241</v>
      </c>
      <c r="Q39" s="10">
        <v>17210</v>
      </c>
      <c r="R39" s="10">
        <v>2640</v>
      </c>
      <c r="S39" s="11">
        <v>929.49</v>
      </c>
      <c r="T39" s="3" t="b">
        <v>1</v>
      </c>
      <c r="U39" s="3" t="b">
        <v>0</v>
      </c>
      <c r="V39" s="3" t="b">
        <v>1</v>
      </c>
    </row>
    <row r="40" spans="1:22" ht="45" x14ac:dyDescent="0.25">
      <c r="A40" s="3" t="s">
        <v>22</v>
      </c>
      <c r="B40" s="3">
        <v>1</v>
      </c>
      <c r="C40" s="4" t="s">
        <v>23</v>
      </c>
      <c r="D40" s="4" t="s">
        <v>221</v>
      </c>
      <c r="E40" s="3" t="s">
        <v>242</v>
      </c>
      <c r="F40" s="4" t="s">
        <v>243</v>
      </c>
      <c r="G40" s="5">
        <v>6</v>
      </c>
      <c r="H40" s="4" t="s">
        <v>27</v>
      </c>
      <c r="I40" s="6" t="s">
        <v>28</v>
      </c>
      <c r="J40" s="7">
        <v>0</v>
      </c>
      <c r="K40" s="8">
        <v>0</v>
      </c>
      <c r="L40" s="9"/>
      <c r="M40" s="9" t="s">
        <v>244</v>
      </c>
      <c r="N40" s="9" t="s">
        <v>30</v>
      </c>
      <c r="O40" s="9" t="s">
        <v>245</v>
      </c>
      <c r="P40" s="9" t="s">
        <v>246</v>
      </c>
      <c r="Q40" s="10">
        <v>17210</v>
      </c>
      <c r="R40" s="10">
        <v>2640</v>
      </c>
      <c r="S40" s="11">
        <v>929.49</v>
      </c>
      <c r="T40" s="3" t="b">
        <v>1</v>
      </c>
      <c r="U40" s="3" t="b">
        <v>0</v>
      </c>
      <c r="V40" s="3" t="b">
        <v>1</v>
      </c>
    </row>
    <row r="41" spans="1:22" ht="45" x14ac:dyDescent="0.25">
      <c r="A41" s="3" t="s">
        <v>22</v>
      </c>
      <c r="B41" s="3">
        <v>1</v>
      </c>
      <c r="C41" s="4" t="s">
        <v>23</v>
      </c>
      <c r="D41" s="4" t="s">
        <v>221</v>
      </c>
      <c r="E41" s="3" t="s">
        <v>247</v>
      </c>
      <c r="F41" s="4" t="s">
        <v>248</v>
      </c>
      <c r="G41" s="5">
        <v>20</v>
      </c>
      <c r="H41" s="4" t="s">
        <v>27</v>
      </c>
      <c r="I41" s="6" t="s">
        <v>28</v>
      </c>
      <c r="J41" s="7">
        <v>0</v>
      </c>
      <c r="K41" s="8">
        <v>0</v>
      </c>
      <c r="L41" s="9"/>
      <c r="M41" s="9" t="s">
        <v>249</v>
      </c>
      <c r="N41" s="9" t="s">
        <v>30</v>
      </c>
      <c r="O41" s="9" t="s">
        <v>250</v>
      </c>
      <c r="P41" s="9" t="s">
        <v>251</v>
      </c>
      <c r="Q41" s="10">
        <v>17210</v>
      </c>
      <c r="R41" s="10">
        <v>2640</v>
      </c>
      <c r="S41" s="11">
        <v>929.49</v>
      </c>
      <c r="T41" s="3" t="b">
        <v>1</v>
      </c>
      <c r="U41" s="3" t="b">
        <v>0</v>
      </c>
      <c r="V41" s="3" t="b">
        <v>1</v>
      </c>
    </row>
    <row r="42" spans="1:22" ht="45" x14ac:dyDescent="0.25">
      <c r="A42" s="3" t="s">
        <v>22</v>
      </c>
      <c r="B42" s="3">
        <v>1</v>
      </c>
      <c r="C42" s="4" t="s">
        <v>23</v>
      </c>
      <c r="D42" s="4" t="s">
        <v>221</v>
      </c>
      <c r="E42" s="3" t="s">
        <v>252</v>
      </c>
      <c r="F42" s="4" t="s">
        <v>253</v>
      </c>
      <c r="G42" s="5">
        <v>12</v>
      </c>
      <c r="H42" s="4" t="s">
        <v>27</v>
      </c>
      <c r="I42" s="6" t="s">
        <v>28</v>
      </c>
      <c r="J42" s="7">
        <v>0</v>
      </c>
      <c r="K42" s="8">
        <v>0</v>
      </c>
      <c r="L42" s="9"/>
      <c r="M42" s="9" t="s">
        <v>254</v>
      </c>
      <c r="N42" s="9" t="s">
        <v>30</v>
      </c>
      <c r="O42" s="9" t="s">
        <v>255</v>
      </c>
      <c r="P42" s="9" t="s">
        <v>256</v>
      </c>
      <c r="Q42" s="10">
        <v>17210</v>
      </c>
      <c r="R42" s="10">
        <v>2640</v>
      </c>
      <c r="S42" s="11">
        <v>929.49</v>
      </c>
      <c r="T42" s="3" t="b">
        <v>1</v>
      </c>
      <c r="U42" s="3" t="b">
        <v>0</v>
      </c>
      <c r="V42" s="3" t="b">
        <v>1</v>
      </c>
    </row>
    <row r="43" spans="1:22" ht="45" x14ac:dyDescent="0.25">
      <c r="A43" s="3" t="s">
        <v>22</v>
      </c>
      <c r="B43" s="3">
        <v>1</v>
      </c>
      <c r="C43" s="4" t="s">
        <v>23</v>
      </c>
      <c r="D43" s="4" t="s">
        <v>221</v>
      </c>
      <c r="E43" s="3" t="s">
        <v>257</v>
      </c>
      <c r="F43" s="4" t="s">
        <v>258</v>
      </c>
      <c r="G43" s="5">
        <v>10</v>
      </c>
      <c r="H43" s="4" t="s">
        <v>27</v>
      </c>
      <c r="I43" s="6" t="s">
        <v>28</v>
      </c>
      <c r="J43" s="7">
        <v>0</v>
      </c>
      <c r="K43" s="8">
        <v>0</v>
      </c>
      <c r="L43" s="9"/>
      <c r="M43" s="9" t="s">
        <v>259</v>
      </c>
      <c r="N43" s="9" t="s">
        <v>30</v>
      </c>
      <c r="O43" s="9" t="s">
        <v>260</v>
      </c>
      <c r="P43" s="9" t="s">
        <v>261</v>
      </c>
      <c r="Q43" s="10">
        <v>17210</v>
      </c>
      <c r="R43" s="10">
        <v>2640</v>
      </c>
      <c r="S43" s="11">
        <v>929.49</v>
      </c>
      <c r="T43" s="3" t="b">
        <v>1</v>
      </c>
      <c r="U43" s="3" t="b">
        <v>0</v>
      </c>
      <c r="V43" s="3" t="b">
        <v>1</v>
      </c>
    </row>
    <row r="44" spans="1:22" ht="45" x14ac:dyDescent="0.25">
      <c r="A44" s="3" t="s">
        <v>22</v>
      </c>
      <c r="B44" s="3">
        <v>1</v>
      </c>
      <c r="C44" s="4" t="s">
        <v>23</v>
      </c>
      <c r="D44" s="4" t="s">
        <v>221</v>
      </c>
      <c r="E44" s="3" t="s">
        <v>262</v>
      </c>
      <c r="F44" s="4" t="s">
        <v>263</v>
      </c>
      <c r="G44" s="5">
        <v>8</v>
      </c>
      <c r="H44" s="4" t="s">
        <v>27</v>
      </c>
      <c r="I44" s="6" t="s">
        <v>28</v>
      </c>
      <c r="J44" s="7">
        <v>0</v>
      </c>
      <c r="K44" s="8">
        <v>0</v>
      </c>
      <c r="L44" s="9"/>
      <c r="M44" s="9" t="s">
        <v>264</v>
      </c>
      <c r="N44" s="9" t="s">
        <v>30</v>
      </c>
      <c r="O44" s="9" t="s">
        <v>265</v>
      </c>
      <c r="P44" s="9" t="s">
        <v>266</v>
      </c>
      <c r="Q44" s="10">
        <v>17210</v>
      </c>
      <c r="R44" s="10">
        <v>2640</v>
      </c>
      <c r="S44" s="11">
        <v>929.49</v>
      </c>
      <c r="T44" s="3" t="b">
        <v>1</v>
      </c>
      <c r="U44" s="3" t="b">
        <v>0</v>
      </c>
      <c r="V44" s="3" t="b">
        <v>1</v>
      </c>
    </row>
    <row r="45" spans="1:22" ht="45" x14ac:dyDescent="0.25">
      <c r="A45" s="3" t="s">
        <v>22</v>
      </c>
      <c r="B45" s="3">
        <v>1</v>
      </c>
      <c r="C45" s="4" t="s">
        <v>23</v>
      </c>
      <c r="D45" s="4" t="s">
        <v>221</v>
      </c>
      <c r="E45" s="3" t="s">
        <v>267</v>
      </c>
      <c r="F45" s="4" t="s">
        <v>268</v>
      </c>
      <c r="G45" s="5">
        <v>14</v>
      </c>
      <c r="H45" s="4" t="s">
        <v>27</v>
      </c>
      <c r="I45" s="6" t="s">
        <v>28</v>
      </c>
      <c r="J45" s="7">
        <v>0</v>
      </c>
      <c r="K45" s="8">
        <v>0</v>
      </c>
      <c r="L45" s="9"/>
      <c r="M45" s="9" t="s">
        <v>269</v>
      </c>
      <c r="N45" s="9" t="s">
        <v>30</v>
      </c>
      <c r="O45" s="9" t="s">
        <v>270</v>
      </c>
      <c r="P45" s="9" t="s">
        <v>271</v>
      </c>
      <c r="Q45" s="10">
        <v>17210</v>
      </c>
      <c r="R45" s="10">
        <v>2640</v>
      </c>
      <c r="S45" s="11">
        <v>929.49</v>
      </c>
      <c r="T45" s="3" t="b">
        <v>1</v>
      </c>
      <c r="U45" s="3" t="b">
        <v>0</v>
      </c>
      <c r="V45" s="3" t="b">
        <v>1</v>
      </c>
    </row>
    <row r="46" spans="1:22" ht="45" x14ac:dyDescent="0.25">
      <c r="A46" s="3" t="s">
        <v>22</v>
      </c>
      <c r="B46" s="3">
        <v>1</v>
      </c>
      <c r="C46" s="4" t="s">
        <v>23</v>
      </c>
      <c r="D46" s="4" t="s">
        <v>221</v>
      </c>
      <c r="E46" s="3" t="s">
        <v>272</v>
      </c>
      <c r="F46" s="4" t="s">
        <v>273</v>
      </c>
      <c r="G46" s="5">
        <v>12</v>
      </c>
      <c r="H46" s="4" t="s">
        <v>27</v>
      </c>
      <c r="I46" s="6" t="s">
        <v>28</v>
      </c>
      <c r="J46" s="7">
        <v>0</v>
      </c>
      <c r="K46" s="8">
        <v>0</v>
      </c>
      <c r="L46" s="9"/>
      <c r="M46" s="9" t="s">
        <v>274</v>
      </c>
      <c r="N46" s="9" t="s">
        <v>30</v>
      </c>
      <c r="O46" s="9" t="s">
        <v>275</v>
      </c>
      <c r="P46" s="9" t="s">
        <v>276</v>
      </c>
      <c r="Q46" s="10">
        <v>17210</v>
      </c>
      <c r="R46" s="10">
        <v>2640</v>
      </c>
      <c r="S46" s="11">
        <v>929.49</v>
      </c>
      <c r="T46" s="3" t="b">
        <v>1</v>
      </c>
      <c r="U46" s="3" t="b">
        <v>0</v>
      </c>
      <c r="V46" s="3" t="b">
        <v>1</v>
      </c>
    </row>
    <row r="47" spans="1:22" ht="45" x14ac:dyDescent="0.25">
      <c r="A47" s="3" t="s">
        <v>22</v>
      </c>
      <c r="B47" s="3">
        <v>1</v>
      </c>
      <c r="C47" s="4" t="s">
        <v>23</v>
      </c>
      <c r="D47" s="4" t="s">
        <v>221</v>
      </c>
      <c r="E47" s="3" t="s">
        <v>277</v>
      </c>
      <c r="F47" s="4" t="s">
        <v>278</v>
      </c>
      <c r="G47" s="5">
        <v>10</v>
      </c>
      <c r="H47" s="4" t="s">
        <v>27</v>
      </c>
      <c r="I47" s="6" t="s">
        <v>28</v>
      </c>
      <c r="J47" s="7">
        <v>0</v>
      </c>
      <c r="K47" s="8">
        <v>0</v>
      </c>
      <c r="L47" s="9"/>
      <c r="M47" s="9" t="s">
        <v>279</v>
      </c>
      <c r="N47" s="9" t="s">
        <v>30</v>
      </c>
      <c r="O47" s="9" t="s">
        <v>280</v>
      </c>
      <c r="P47" s="9" t="s">
        <v>281</v>
      </c>
      <c r="Q47" s="10">
        <v>17210</v>
      </c>
      <c r="R47" s="10">
        <v>2640</v>
      </c>
      <c r="S47" s="11">
        <v>929.49</v>
      </c>
      <c r="T47" s="3" t="b">
        <v>1</v>
      </c>
      <c r="U47" s="3" t="b">
        <v>0</v>
      </c>
      <c r="V47" s="3" t="b">
        <v>1</v>
      </c>
    </row>
    <row r="48" spans="1:22" ht="45" x14ac:dyDescent="0.25">
      <c r="A48" s="3" t="s">
        <v>22</v>
      </c>
      <c r="B48" s="3">
        <v>1</v>
      </c>
      <c r="C48" s="4" t="s">
        <v>23</v>
      </c>
      <c r="D48" s="4" t="s">
        <v>221</v>
      </c>
      <c r="E48" s="3" t="s">
        <v>282</v>
      </c>
      <c r="F48" s="4" t="s">
        <v>283</v>
      </c>
      <c r="G48" s="5">
        <v>8</v>
      </c>
      <c r="H48" s="4" t="s">
        <v>27</v>
      </c>
      <c r="I48" s="6" t="s">
        <v>28</v>
      </c>
      <c r="J48" s="7">
        <v>0</v>
      </c>
      <c r="K48" s="8">
        <v>0</v>
      </c>
      <c r="L48" s="9"/>
      <c r="M48" s="9" t="s">
        <v>284</v>
      </c>
      <c r="N48" s="9" t="s">
        <v>30</v>
      </c>
      <c r="O48" s="9" t="s">
        <v>285</v>
      </c>
      <c r="P48" s="9" t="s">
        <v>286</v>
      </c>
      <c r="Q48" s="10">
        <v>17210</v>
      </c>
      <c r="R48" s="10">
        <v>2640</v>
      </c>
      <c r="S48" s="11">
        <v>929.49</v>
      </c>
      <c r="T48" s="3" t="b">
        <v>1</v>
      </c>
      <c r="U48" s="3" t="b">
        <v>0</v>
      </c>
      <c r="V48" s="3" t="b">
        <v>1</v>
      </c>
    </row>
    <row r="49" spans="1:22" ht="45" x14ac:dyDescent="0.25">
      <c r="A49" s="3"/>
      <c r="B49" s="3"/>
      <c r="C49" s="4"/>
      <c r="D49" s="4"/>
      <c r="E49" s="3"/>
      <c r="F49" s="4"/>
      <c r="G49" s="5"/>
      <c r="H49" s="4"/>
      <c r="I49" s="6"/>
      <c r="J49" s="7"/>
      <c r="K49" s="8"/>
      <c r="L49" s="9"/>
      <c r="M49" s="9"/>
      <c r="N49" s="9"/>
      <c r="O49" s="9"/>
      <c r="P49" s="9"/>
      <c r="Q49" s="10"/>
      <c r="R49" s="10"/>
      <c r="S49" s="11"/>
      <c r="T49" s="3"/>
      <c r="U49" s="3"/>
      <c r="V49" s="3"/>
    </row>
  </sheetData>
  <autoFilter ref="A1:V48" xr:uid="{00000000-0009-0000-0000-000000000000}"/>
  <conditionalFormatting sqref="D2:D49">
    <cfRule type="containsText" dxfId="278" priority="20" operator="containsText" text="Climate And Resilience">
      <formula>NOT(ISERROR(SEARCH("Climate And Resilience",D2)))</formula>
    </cfRule>
    <cfRule type="containsText" dxfId="277" priority="21" operator="containsText" text="Leadership">
      <formula>NOT(ISERROR(SEARCH("Leadership",D2)))</formula>
    </cfRule>
    <cfRule type="containsText" dxfId="276" priority="22" operator="containsText" text="Natural World">
      <formula>NOT(ISERROR(SEARCH("Natural World",D2)))</formula>
    </cfRule>
    <cfRule type="containsText" dxfId="275" priority="23" operator="containsText" text="Quality Of Life">
      <formula>NOT(ISERROR(SEARCH("Quality Of Life",D2)))</formula>
    </cfRule>
    <cfRule type="containsText" dxfId="274" priority="24" operator="containsText" text="Resource Allocation">
      <formula>NOT(ISERROR(SEARCH("Resource Allocation",D2)))</formula>
    </cfRule>
  </conditionalFormatting>
  <conditionalFormatting sqref="G2:G49">
    <cfRule type="dataBar" priority="205">
      <dataBar>
        <cfvo type="min"/>
        <cfvo type="max"/>
        <color rgb="FF5B9BD5"/>
      </dataBar>
    </cfRule>
  </conditionalFormatting>
  <conditionalFormatting sqref="H2:H49">
    <cfRule type="containsText" dxfId="273" priority="10" operator="containsText" text="Not Applicable">
      <formula>NOT(ISERROR(SEARCH("Not Applicable",H2)))</formula>
    </cfRule>
    <cfRule type="containsText" dxfId="272" priority="11" operator="containsText" text="Applicable">
      <formula>NOT(ISERROR(SEARCH("Applicable",H2)))</formula>
    </cfRule>
  </conditionalFormatting>
  <conditionalFormatting sqref="I2:I49">
    <cfRule type="containsText" dxfId="271" priority="4" operator="containsText" text="No Level">
      <formula>NOT(ISERROR(SEARCH("No Level",I2)))</formula>
    </cfRule>
    <cfRule type="containsText" dxfId="270" priority="5" operator="containsText" text="Improved">
      <formula>NOT(ISERROR(SEARCH("Improved",I2)))</formula>
    </cfRule>
    <cfRule type="containsText" dxfId="269" priority="6" operator="containsText" text="Enhanced">
      <formula>NOT(ISERROR(SEARCH("Enhanced",I2)))</formula>
    </cfRule>
    <cfRule type="containsText" dxfId="268" priority="7" operator="containsText" text="Superior">
      <formula>NOT(ISERROR(SEARCH("Superior",I2)))</formula>
    </cfRule>
    <cfRule type="containsText" dxfId="267" priority="8" operator="containsText" text="Conserving">
      <formula>NOT(ISERROR(SEARCH("Conserving",I2)))</formula>
    </cfRule>
    <cfRule type="containsText" dxfId="266" priority="9" operator="containsText" text="Restorative">
      <formula>NOT(ISERROR(SEARCH("Restorative",I2)))</formula>
    </cfRule>
  </conditionalFormatting>
  <conditionalFormatting sqref="J2:J49">
    <cfRule type="dataBar" priority="206">
      <dataBar>
        <cfvo type="min"/>
        <cfvo type="max"/>
        <color rgb="FF70AD47"/>
      </dataBar>
    </cfRule>
  </conditionalFormatting>
  <conditionalFormatting sqref="K2:K49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49">
    <cfRule type="dataBar" priority="207">
      <dataBar>
        <cfvo type="min"/>
        <cfvo type="max"/>
        <color rgb="FFA5A5A5"/>
      </dataBar>
    </cfRule>
  </conditionalFormatting>
  <conditionalFormatting sqref="S2:S49">
    <cfRule type="dataBar" priority="208">
      <dataBar>
        <cfvo type="min"/>
        <cfvo type="max"/>
        <color rgb="FFED7D31"/>
      </dataBar>
    </cfRule>
  </conditionalFormatting>
  <conditionalFormatting sqref="T2:T49">
    <cfRule type="cellIs" dxfId="265" priority="14" operator="equal">
      <formula>TRUE</formula>
    </cfRule>
    <cfRule type="cellIs" dxfId="264" priority="15" operator="equal">
      <formula>FALSE</formula>
    </cfRule>
  </conditionalFormatting>
  <conditionalFormatting sqref="U2:U49">
    <cfRule type="cellIs" dxfId="263" priority="16" operator="equal">
      <formula>TRUE</formula>
    </cfRule>
    <cfRule type="cellIs" dxfId="262" priority="17" operator="equal">
      <formula>FALSE</formula>
    </cfRule>
  </conditionalFormatting>
  <conditionalFormatting sqref="V2:V49">
    <cfRule type="cellIs" dxfId="261" priority="18" operator="equal">
      <formula>TRUE</formula>
    </cfRule>
    <cfRule type="cellIs" dxfId="260" priority="19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8"/>
  <sheetViews>
    <sheetView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60" x14ac:dyDescent="0.25">
      <c r="A2" s="3" t="s">
        <v>22</v>
      </c>
      <c r="B2" s="3">
        <v>2</v>
      </c>
      <c r="C2" s="4" t="s">
        <v>23</v>
      </c>
      <c r="D2" s="4" t="s">
        <v>24</v>
      </c>
      <c r="E2" s="3" t="s">
        <v>25</v>
      </c>
      <c r="F2" s="4" t="s">
        <v>26</v>
      </c>
      <c r="G2" s="5">
        <v>14</v>
      </c>
      <c r="H2" s="4" t="s">
        <v>115</v>
      </c>
      <c r="I2" s="6" t="s">
        <v>28</v>
      </c>
      <c r="J2" s="7">
        <v>0</v>
      </c>
      <c r="K2" s="8">
        <v>0</v>
      </c>
      <c r="L2" s="9" t="s">
        <v>287</v>
      </c>
      <c r="M2" s="9" t="s">
        <v>288</v>
      </c>
      <c r="N2" s="9" t="s">
        <v>30</v>
      </c>
      <c r="O2" s="9" t="s">
        <v>289</v>
      </c>
      <c r="P2" s="9" t="s">
        <v>290</v>
      </c>
      <c r="Q2" s="10">
        <v>17617</v>
      </c>
      <c r="R2" s="10">
        <v>1700</v>
      </c>
      <c r="S2" s="11">
        <v>610.15</v>
      </c>
      <c r="T2" s="3" t="b">
        <v>1</v>
      </c>
      <c r="U2" s="3" t="b">
        <v>0</v>
      </c>
      <c r="V2" s="3" t="b">
        <v>1</v>
      </c>
    </row>
    <row r="3" spans="1:22" ht="60" x14ac:dyDescent="0.25">
      <c r="A3" s="3" t="s">
        <v>22</v>
      </c>
      <c r="B3" s="3">
        <v>2</v>
      </c>
      <c r="C3" s="4" t="s">
        <v>23</v>
      </c>
      <c r="D3" s="4" t="s">
        <v>24</v>
      </c>
      <c r="E3" s="3" t="s">
        <v>33</v>
      </c>
      <c r="F3" s="4" t="s">
        <v>34</v>
      </c>
      <c r="G3" s="5">
        <v>20</v>
      </c>
      <c r="H3" s="4" t="s">
        <v>115</v>
      </c>
      <c r="I3" s="6" t="s">
        <v>28</v>
      </c>
      <c r="J3" s="7">
        <v>0</v>
      </c>
      <c r="K3" s="8">
        <v>0</v>
      </c>
      <c r="L3" s="9" t="s">
        <v>291</v>
      </c>
      <c r="M3" s="9" t="s">
        <v>292</v>
      </c>
      <c r="N3" s="9" t="s">
        <v>30</v>
      </c>
      <c r="O3" s="9" t="s">
        <v>293</v>
      </c>
      <c r="P3" s="9" t="s">
        <v>294</v>
      </c>
      <c r="Q3" s="10">
        <v>17617</v>
      </c>
      <c r="R3" s="10">
        <v>1700</v>
      </c>
      <c r="S3" s="11">
        <v>610.15</v>
      </c>
      <c r="T3" s="3" t="b">
        <v>1</v>
      </c>
      <c r="U3" s="3" t="b">
        <v>0</v>
      </c>
      <c r="V3" s="3" t="b">
        <v>1</v>
      </c>
    </row>
    <row r="4" spans="1:22" ht="60" x14ac:dyDescent="0.25">
      <c r="A4" s="3" t="s">
        <v>22</v>
      </c>
      <c r="B4" s="3">
        <v>2</v>
      </c>
      <c r="C4" s="4" t="s">
        <v>23</v>
      </c>
      <c r="D4" s="4" t="s">
        <v>24</v>
      </c>
      <c r="E4" s="3" t="s">
        <v>39</v>
      </c>
      <c r="F4" s="4" t="s">
        <v>40</v>
      </c>
      <c r="G4" s="5">
        <v>26</v>
      </c>
      <c r="H4" s="4" t="s">
        <v>115</v>
      </c>
      <c r="I4" s="6" t="s">
        <v>28</v>
      </c>
      <c r="J4" s="7">
        <v>0</v>
      </c>
      <c r="K4" s="8">
        <v>0</v>
      </c>
      <c r="L4" s="9" t="s">
        <v>295</v>
      </c>
      <c r="M4" s="9" t="s">
        <v>296</v>
      </c>
      <c r="N4" s="9" t="s">
        <v>297</v>
      </c>
      <c r="O4" s="9" t="s">
        <v>298</v>
      </c>
      <c r="P4" s="9" t="s">
        <v>299</v>
      </c>
      <c r="Q4" s="10">
        <v>17617</v>
      </c>
      <c r="R4" s="10">
        <v>1700</v>
      </c>
      <c r="S4" s="11">
        <v>610.15</v>
      </c>
      <c r="T4" s="3" t="b">
        <v>1</v>
      </c>
      <c r="U4" s="3" t="b">
        <v>0</v>
      </c>
      <c r="V4" s="3" t="b">
        <v>1</v>
      </c>
    </row>
    <row r="5" spans="1:22" ht="60" x14ac:dyDescent="0.25">
      <c r="A5" s="3" t="s">
        <v>22</v>
      </c>
      <c r="B5" s="3">
        <v>2</v>
      </c>
      <c r="C5" s="4" t="s">
        <v>23</v>
      </c>
      <c r="D5" s="4" t="s">
        <v>24</v>
      </c>
      <c r="E5" s="3" t="s">
        <v>45</v>
      </c>
      <c r="F5" s="4" t="s">
        <v>46</v>
      </c>
      <c r="G5" s="5">
        <v>20</v>
      </c>
      <c r="H5" s="4" t="s">
        <v>115</v>
      </c>
      <c r="I5" s="6" t="s">
        <v>28</v>
      </c>
      <c r="J5" s="7">
        <v>0</v>
      </c>
      <c r="K5" s="8">
        <v>0</v>
      </c>
      <c r="L5" s="9" t="s">
        <v>295</v>
      </c>
      <c r="M5" s="9" t="s">
        <v>300</v>
      </c>
      <c r="N5" s="9" t="s">
        <v>48</v>
      </c>
      <c r="O5" s="9" t="s">
        <v>301</v>
      </c>
      <c r="P5" s="9" t="s">
        <v>302</v>
      </c>
      <c r="Q5" s="10">
        <v>17617</v>
      </c>
      <c r="R5" s="10">
        <v>1700</v>
      </c>
      <c r="S5" s="11">
        <v>610.15</v>
      </c>
      <c r="T5" s="3" t="b">
        <v>1</v>
      </c>
      <c r="U5" s="3" t="b">
        <v>0</v>
      </c>
      <c r="V5" s="3" t="b">
        <v>1</v>
      </c>
    </row>
    <row r="6" spans="1:22" ht="60" x14ac:dyDescent="0.25">
      <c r="A6" s="3" t="s">
        <v>22</v>
      </c>
      <c r="B6" s="3">
        <v>2</v>
      </c>
      <c r="C6" s="4" t="s">
        <v>23</v>
      </c>
      <c r="D6" s="4" t="s">
        <v>24</v>
      </c>
      <c r="E6" s="3" t="s">
        <v>51</v>
      </c>
      <c r="F6" s="4" t="s">
        <v>52</v>
      </c>
      <c r="G6" s="5">
        <v>26</v>
      </c>
      <c r="H6" s="4" t="s">
        <v>115</v>
      </c>
      <c r="I6" s="6" t="s">
        <v>28</v>
      </c>
      <c r="J6" s="7">
        <v>0</v>
      </c>
      <c r="K6" s="8">
        <v>0</v>
      </c>
      <c r="L6" s="9" t="s">
        <v>295</v>
      </c>
      <c r="M6" s="9" t="s">
        <v>303</v>
      </c>
      <c r="N6" s="9" t="s">
        <v>30</v>
      </c>
      <c r="O6" s="9" t="s">
        <v>54</v>
      </c>
      <c r="P6" s="9" t="s">
        <v>304</v>
      </c>
      <c r="Q6" s="10">
        <v>17617</v>
      </c>
      <c r="R6" s="10">
        <v>1700</v>
      </c>
      <c r="S6" s="11">
        <v>610.15</v>
      </c>
      <c r="T6" s="3" t="b">
        <v>1</v>
      </c>
      <c r="U6" s="3" t="b">
        <v>0</v>
      </c>
      <c r="V6" s="3" t="b">
        <v>1</v>
      </c>
    </row>
    <row r="7" spans="1:22" ht="60" x14ac:dyDescent="0.25">
      <c r="A7" s="3" t="s">
        <v>22</v>
      </c>
      <c r="B7" s="3">
        <v>2</v>
      </c>
      <c r="C7" s="4" t="s">
        <v>23</v>
      </c>
      <c r="D7" s="4" t="s">
        <v>24</v>
      </c>
      <c r="E7" s="3" t="s">
        <v>56</v>
      </c>
      <c r="F7" s="4" t="s">
        <v>57</v>
      </c>
      <c r="G7" s="5">
        <v>18</v>
      </c>
      <c r="H7" s="4" t="s">
        <v>115</v>
      </c>
      <c r="I7" s="6" t="s">
        <v>28</v>
      </c>
      <c r="J7" s="7">
        <v>0</v>
      </c>
      <c r="K7" s="8">
        <v>0</v>
      </c>
      <c r="L7" s="9" t="s">
        <v>305</v>
      </c>
      <c r="M7" s="9" t="s">
        <v>306</v>
      </c>
      <c r="N7" s="9" t="s">
        <v>307</v>
      </c>
      <c r="O7" s="9" t="s">
        <v>308</v>
      </c>
      <c r="P7" s="9" t="s">
        <v>309</v>
      </c>
      <c r="Q7" s="10">
        <v>17617</v>
      </c>
      <c r="R7" s="10">
        <v>1700</v>
      </c>
      <c r="S7" s="11">
        <v>610.15</v>
      </c>
      <c r="T7" s="3" t="b">
        <v>1</v>
      </c>
      <c r="U7" s="3" t="b">
        <v>0</v>
      </c>
      <c r="V7" s="3" t="b">
        <v>1</v>
      </c>
    </row>
    <row r="8" spans="1:22" ht="60" x14ac:dyDescent="0.25">
      <c r="A8" s="3" t="s">
        <v>22</v>
      </c>
      <c r="B8" s="3">
        <v>2</v>
      </c>
      <c r="C8" s="4" t="s">
        <v>23</v>
      </c>
      <c r="D8" s="4" t="s">
        <v>61</v>
      </c>
      <c r="E8" s="3" t="s">
        <v>62</v>
      </c>
      <c r="F8" s="4" t="s">
        <v>63</v>
      </c>
      <c r="G8" s="5">
        <v>10</v>
      </c>
      <c r="H8" s="4" t="s">
        <v>27</v>
      </c>
      <c r="I8" s="6" t="s">
        <v>35</v>
      </c>
      <c r="J8" s="7">
        <v>2</v>
      </c>
      <c r="K8" s="8">
        <v>20</v>
      </c>
      <c r="L8" s="9"/>
      <c r="M8" s="9" t="s">
        <v>64</v>
      </c>
      <c r="N8" s="9" t="s">
        <v>48</v>
      </c>
      <c r="O8" s="9" t="s">
        <v>65</v>
      </c>
      <c r="P8" s="9" t="s">
        <v>66</v>
      </c>
      <c r="Q8" s="10">
        <v>17191</v>
      </c>
      <c r="R8" s="10">
        <v>1954</v>
      </c>
      <c r="S8" s="11">
        <v>693.75</v>
      </c>
      <c r="T8" s="3" t="b">
        <v>1</v>
      </c>
      <c r="U8" s="3" t="b">
        <v>0</v>
      </c>
      <c r="V8" s="3" t="b">
        <v>1</v>
      </c>
    </row>
    <row r="9" spans="1:22" ht="60" x14ac:dyDescent="0.25">
      <c r="A9" s="3" t="s">
        <v>22</v>
      </c>
      <c r="B9" s="3">
        <v>2</v>
      </c>
      <c r="C9" s="4" t="s">
        <v>23</v>
      </c>
      <c r="D9" s="4" t="s">
        <v>61</v>
      </c>
      <c r="E9" s="3" t="s">
        <v>67</v>
      </c>
      <c r="F9" s="4" t="s">
        <v>68</v>
      </c>
      <c r="G9" s="5">
        <v>8</v>
      </c>
      <c r="H9" s="4" t="s">
        <v>27</v>
      </c>
      <c r="I9" s="6" t="s">
        <v>35</v>
      </c>
      <c r="J9" s="7">
        <v>2</v>
      </c>
      <c r="K9" s="8">
        <v>25</v>
      </c>
      <c r="L9" s="9"/>
      <c r="M9" s="9" t="s">
        <v>69</v>
      </c>
      <c r="N9" s="9" t="s">
        <v>48</v>
      </c>
      <c r="O9" s="9" t="s">
        <v>70</v>
      </c>
      <c r="P9" s="9" t="s">
        <v>71</v>
      </c>
      <c r="Q9" s="10">
        <v>17191</v>
      </c>
      <c r="R9" s="10">
        <v>1954</v>
      </c>
      <c r="S9" s="11">
        <v>693.75</v>
      </c>
      <c r="T9" s="3" t="b">
        <v>1</v>
      </c>
      <c r="U9" s="3" t="b">
        <v>0</v>
      </c>
      <c r="V9" s="3" t="b">
        <v>1</v>
      </c>
    </row>
    <row r="10" spans="1:22" ht="60" x14ac:dyDescent="0.25">
      <c r="A10" s="3" t="s">
        <v>22</v>
      </c>
      <c r="B10" s="3">
        <v>2</v>
      </c>
      <c r="C10" s="4" t="s">
        <v>23</v>
      </c>
      <c r="D10" s="4" t="s">
        <v>61</v>
      </c>
      <c r="E10" s="3" t="s">
        <v>72</v>
      </c>
      <c r="F10" s="4" t="s">
        <v>73</v>
      </c>
      <c r="G10" s="5">
        <v>8</v>
      </c>
      <c r="H10" s="4" t="s">
        <v>27</v>
      </c>
      <c r="I10" s="6" t="s">
        <v>28</v>
      </c>
      <c r="J10" s="7">
        <v>0</v>
      </c>
      <c r="K10" s="8">
        <v>0</v>
      </c>
      <c r="L10" s="9"/>
      <c r="M10" s="9" t="s">
        <v>74</v>
      </c>
      <c r="N10" s="9" t="s">
        <v>30</v>
      </c>
      <c r="O10" s="9" t="s">
        <v>75</v>
      </c>
      <c r="P10" s="9" t="s">
        <v>76</v>
      </c>
      <c r="Q10" s="10">
        <v>17191</v>
      </c>
      <c r="R10" s="10">
        <v>1954</v>
      </c>
      <c r="S10" s="11">
        <v>693.75</v>
      </c>
      <c r="T10" s="3" t="b">
        <v>1</v>
      </c>
      <c r="U10" s="3" t="b">
        <v>0</v>
      </c>
      <c r="V10" s="3" t="b">
        <v>1</v>
      </c>
    </row>
    <row r="11" spans="1:22" ht="60" x14ac:dyDescent="0.25">
      <c r="A11" s="3" t="s">
        <v>22</v>
      </c>
      <c r="B11" s="3">
        <v>2</v>
      </c>
      <c r="C11" s="4" t="s">
        <v>23</v>
      </c>
      <c r="D11" s="4" t="s">
        <v>61</v>
      </c>
      <c r="E11" s="3" t="s">
        <v>77</v>
      </c>
      <c r="F11" s="4" t="s">
        <v>78</v>
      </c>
      <c r="G11" s="5">
        <v>10</v>
      </c>
      <c r="H11" s="4" t="s">
        <v>27</v>
      </c>
      <c r="I11" s="6" t="s">
        <v>28</v>
      </c>
      <c r="J11" s="7">
        <v>0</v>
      </c>
      <c r="K11" s="8">
        <v>0</v>
      </c>
      <c r="L11" s="9"/>
      <c r="M11" s="9" t="s">
        <v>79</v>
      </c>
      <c r="N11" s="9" t="s">
        <v>30</v>
      </c>
      <c r="O11" s="9" t="s">
        <v>80</v>
      </c>
      <c r="P11" s="9" t="s">
        <v>81</v>
      </c>
      <c r="Q11" s="10">
        <v>17191</v>
      </c>
      <c r="R11" s="10">
        <v>1954</v>
      </c>
      <c r="S11" s="11">
        <v>693.75</v>
      </c>
      <c r="T11" s="3" t="b">
        <v>1</v>
      </c>
      <c r="U11" s="3" t="b">
        <v>0</v>
      </c>
      <c r="V11" s="3" t="b">
        <v>1</v>
      </c>
    </row>
    <row r="12" spans="1:22" ht="60" x14ac:dyDescent="0.25">
      <c r="A12" s="3" t="s">
        <v>22</v>
      </c>
      <c r="B12" s="3">
        <v>2</v>
      </c>
      <c r="C12" s="4" t="s">
        <v>23</v>
      </c>
      <c r="D12" s="4" t="s">
        <v>61</v>
      </c>
      <c r="E12" s="3" t="s">
        <v>82</v>
      </c>
      <c r="F12" s="4" t="s">
        <v>83</v>
      </c>
      <c r="G12" s="5">
        <v>12</v>
      </c>
      <c r="H12" s="4" t="s">
        <v>27</v>
      </c>
      <c r="I12" s="6" t="s">
        <v>28</v>
      </c>
      <c r="J12" s="7">
        <v>0</v>
      </c>
      <c r="K12" s="8">
        <v>0</v>
      </c>
      <c r="L12" s="9"/>
      <c r="M12" s="9" t="s">
        <v>84</v>
      </c>
      <c r="N12" s="9" t="s">
        <v>30</v>
      </c>
      <c r="O12" s="9" t="s">
        <v>85</v>
      </c>
      <c r="P12" s="9" t="s">
        <v>86</v>
      </c>
      <c r="Q12" s="10">
        <v>17191</v>
      </c>
      <c r="R12" s="10">
        <v>1954</v>
      </c>
      <c r="S12" s="11">
        <v>693.75</v>
      </c>
      <c r="T12" s="3" t="b">
        <v>1</v>
      </c>
      <c r="U12" s="3" t="b">
        <v>0</v>
      </c>
      <c r="V12" s="3" t="b">
        <v>1</v>
      </c>
    </row>
    <row r="13" spans="1:22" ht="60" x14ac:dyDescent="0.25">
      <c r="A13" s="3" t="s">
        <v>22</v>
      </c>
      <c r="B13" s="3">
        <v>2</v>
      </c>
      <c r="C13" s="4" t="s">
        <v>23</v>
      </c>
      <c r="D13" s="4" t="s">
        <v>61</v>
      </c>
      <c r="E13" s="3" t="s">
        <v>87</v>
      </c>
      <c r="F13" s="4" t="s">
        <v>88</v>
      </c>
      <c r="G13" s="5">
        <v>10</v>
      </c>
      <c r="H13" s="4" t="s">
        <v>27</v>
      </c>
      <c r="I13" s="6" t="s">
        <v>28</v>
      </c>
      <c r="J13" s="7">
        <v>0</v>
      </c>
      <c r="K13" s="8">
        <v>0</v>
      </c>
      <c r="L13" s="9"/>
      <c r="M13" s="9" t="s">
        <v>89</v>
      </c>
      <c r="N13" s="9" t="s">
        <v>30</v>
      </c>
      <c r="O13" s="9" t="s">
        <v>90</v>
      </c>
      <c r="P13" s="9" t="s">
        <v>310</v>
      </c>
      <c r="Q13" s="10">
        <v>17191</v>
      </c>
      <c r="R13" s="10">
        <v>1954</v>
      </c>
      <c r="S13" s="11">
        <v>693.75</v>
      </c>
      <c r="T13" s="3" t="b">
        <v>1</v>
      </c>
      <c r="U13" s="3" t="b">
        <v>0</v>
      </c>
      <c r="V13" s="3" t="b">
        <v>1</v>
      </c>
    </row>
    <row r="14" spans="1:22" ht="60" x14ac:dyDescent="0.25">
      <c r="A14" s="3" t="s">
        <v>22</v>
      </c>
      <c r="B14" s="3">
        <v>2</v>
      </c>
      <c r="C14" s="4" t="s">
        <v>23</v>
      </c>
      <c r="D14" s="4" t="s">
        <v>61</v>
      </c>
      <c r="E14" s="3" t="s">
        <v>92</v>
      </c>
      <c r="F14" s="4" t="s">
        <v>93</v>
      </c>
      <c r="G14" s="5">
        <v>12</v>
      </c>
      <c r="H14" s="4" t="s">
        <v>27</v>
      </c>
      <c r="I14" s="6" t="s">
        <v>28</v>
      </c>
      <c r="J14" s="7">
        <v>0</v>
      </c>
      <c r="K14" s="8">
        <v>0</v>
      </c>
      <c r="L14" s="9"/>
      <c r="M14" s="9" t="s">
        <v>94</v>
      </c>
      <c r="N14" s="9" t="s">
        <v>30</v>
      </c>
      <c r="O14" s="9" t="s">
        <v>95</v>
      </c>
      <c r="P14" s="9" t="s">
        <v>96</v>
      </c>
      <c r="Q14" s="10">
        <v>17191</v>
      </c>
      <c r="R14" s="10">
        <v>1954</v>
      </c>
      <c r="S14" s="11">
        <v>693.75</v>
      </c>
      <c r="T14" s="3" t="b">
        <v>1</v>
      </c>
      <c r="U14" s="3" t="b">
        <v>0</v>
      </c>
      <c r="V14" s="3" t="b">
        <v>1</v>
      </c>
    </row>
    <row r="15" spans="1:22" ht="60" x14ac:dyDescent="0.25">
      <c r="A15" s="3" t="s">
        <v>22</v>
      </c>
      <c r="B15" s="3">
        <v>2</v>
      </c>
      <c r="C15" s="4" t="s">
        <v>23</v>
      </c>
      <c r="D15" s="4" t="s">
        <v>61</v>
      </c>
      <c r="E15" s="3" t="s">
        <v>97</v>
      </c>
      <c r="F15" s="4" t="s">
        <v>311</v>
      </c>
      <c r="G15" s="5">
        <v>10</v>
      </c>
      <c r="H15" s="4" t="s">
        <v>27</v>
      </c>
      <c r="I15" s="6" t="s">
        <v>28</v>
      </c>
      <c r="J15" s="7">
        <v>0</v>
      </c>
      <c r="K15" s="8">
        <v>0</v>
      </c>
      <c r="L15" s="9"/>
      <c r="M15" s="9" t="s">
        <v>312</v>
      </c>
      <c r="N15" s="9" t="s">
        <v>30</v>
      </c>
      <c r="O15" s="9" t="s">
        <v>313</v>
      </c>
      <c r="P15" s="9" t="s">
        <v>314</v>
      </c>
      <c r="Q15" s="10">
        <v>17191</v>
      </c>
      <c r="R15" s="10">
        <v>1954</v>
      </c>
      <c r="S15" s="11">
        <v>693.75</v>
      </c>
      <c r="T15" s="3" t="b">
        <v>1</v>
      </c>
      <c r="U15" s="3" t="b">
        <v>0</v>
      </c>
      <c r="V15" s="3" t="b">
        <v>1</v>
      </c>
    </row>
    <row r="16" spans="1:22" ht="60" x14ac:dyDescent="0.25">
      <c r="A16" s="3" t="s">
        <v>22</v>
      </c>
      <c r="B16" s="3">
        <v>2</v>
      </c>
      <c r="C16" s="4" t="s">
        <v>23</v>
      </c>
      <c r="D16" s="4" t="s">
        <v>61</v>
      </c>
      <c r="E16" s="3" t="s">
        <v>102</v>
      </c>
      <c r="F16" s="4" t="s">
        <v>315</v>
      </c>
      <c r="G16" s="5">
        <v>8</v>
      </c>
      <c r="H16" s="4" t="s">
        <v>27</v>
      </c>
      <c r="I16" s="6" t="s">
        <v>28</v>
      </c>
      <c r="J16" s="7">
        <v>0</v>
      </c>
      <c r="K16" s="8">
        <v>0</v>
      </c>
      <c r="L16" s="9"/>
      <c r="M16" s="9" t="s">
        <v>316</v>
      </c>
      <c r="N16" s="9" t="s">
        <v>30</v>
      </c>
      <c r="O16" s="9" t="s">
        <v>317</v>
      </c>
      <c r="P16" s="9" t="s">
        <v>318</v>
      </c>
      <c r="Q16" s="10">
        <v>17191</v>
      </c>
      <c r="R16" s="10">
        <v>1954</v>
      </c>
      <c r="S16" s="11">
        <v>693.75</v>
      </c>
      <c r="T16" s="3" t="b">
        <v>1</v>
      </c>
      <c r="U16" s="3" t="b">
        <v>0</v>
      </c>
      <c r="V16" s="3" t="b">
        <v>1</v>
      </c>
    </row>
    <row r="17" spans="1:22" ht="60" x14ac:dyDescent="0.25">
      <c r="A17" s="3" t="s">
        <v>22</v>
      </c>
      <c r="B17" s="3">
        <v>2</v>
      </c>
      <c r="C17" s="4" t="s">
        <v>23</v>
      </c>
      <c r="D17" s="4" t="s">
        <v>61</v>
      </c>
      <c r="E17" s="3" t="s">
        <v>107</v>
      </c>
      <c r="F17" s="4" t="s">
        <v>108</v>
      </c>
      <c r="G17" s="5">
        <v>12</v>
      </c>
      <c r="H17" s="4" t="s">
        <v>27</v>
      </c>
      <c r="I17" s="6" t="s">
        <v>28</v>
      </c>
      <c r="J17" s="7">
        <v>0</v>
      </c>
      <c r="K17" s="8">
        <v>0</v>
      </c>
      <c r="L17" s="9"/>
      <c r="M17" s="9" t="s">
        <v>319</v>
      </c>
      <c r="N17" s="9" t="s">
        <v>30</v>
      </c>
      <c r="O17" s="9" t="s">
        <v>110</v>
      </c>
      <c r="P17" s="9" t="s">
        <v>320</v>
      </c>
      <c r="Q17" s="10">
        <v>17191</v>
      </c>
      <c r="R17" s="10">
        <v>1954</v>
      </c>
      <c r="S17" s="11">
        <v>693.75</v>
      </c>
      <c r="T17" s="3" t="b">
        <v>1</v>
      </c>
      <c r="U17" s="3" t="b">
        <v>0</v>
      </c>
      <c r="V17" s="3" t="b">
        <v>1</v>
      </c>
    </row>
    <row r="18" spans="1:22" ht="60" x14ac:dyDescent="0.25">
      <c r="A18" s="3" t="s">
        <v>22</v>
      </c>
      <c r="B18" s="3">
        <v>2</v>
      </c>
      <c r="C18" s="4" t="s">
        <v>23</v>
      </c>
      <c r="D18" s="4" t="s">
        <v>112</v>
      </c>
      <c r="E18" s="3" t="s">
        <v>113</v>
      </c>
      <c r="F18" s="4" t="s">
        <v>114</v>
      </c>
      <c r="G18" s="5">
        <v>14</v>
      </c>
      <c r="H18" s="4" t="s">
        <v>115</v>
      </c>
      <c r="I18" s="6" t="s">
        <v>35</v>
      </c>
      <c r="J18" s="7">
        <v>2</v>
      </c>
      <c r="K18" s="8">
        <v>14.3</v>
      </c>
      <c r="L18" s="9" t="s">
        <v>321</v>
      </c>
      <c r="M18" s="9" t="s">
        <v>322</v>
      </c>
      <c r="N18" s="9" t="s">
        <v>30</v>
      </c>
      <c r="O18" s="9" t="s">
        <v>323</v>
      </c>
      <c r="P18" s="9" t="s">
        <v>324</v>
      </c>
      <c r="Q18" s="10">
        <v>17916</v>
      </c>
      <c r="R18" s="10">
        <v>1325</v>
      </c>
      <c r="S18" s="11">
        <v>506.66</v>
      </c>
      <c r="T18" s="3" t="b">
        <v>1</v>
      </c>
      <c r="U18" s="3" t="b">
        <v>0</v>
      </c>
      <c r="V18" s="3" t="b">
        <v>1</v>
      </c>
    </row>
    <row r="19" spans="1:22" ht="60" x14ac:dyDescent="0.25">
      <c r="A19" s="3" t="s">
        <v>22</v>
      </c>
      <c r="B19" s="3">
        <v>2</v>
      </c>
      <c r="C19" s="4" t="s">
        <v>23</v>
      </c>
      <c r="D19" s="4" t="s">
        <v>112</v>
      </c>
      <c r="E19" s="3" t="s">
        <v>120</v>
      </c>
      <c r="F19" s="4" t="s">
        <v>121</v>
      </c>
      <c r="G19" s="5">
        <v>10</v>
      </c>
      <c r="H19" s="4" t="s">
        <v>115</v>
      </c>
      <c r="I19" s="6" t="s">
        <v>35</v>
      </c>
      <c r="J19" s="7">
        <v>2</v>
      </c>
      <c r="K19" s="8">
        <v>20</v>
      </c>
      <c r="L19" s="9" t="s">
        <v>325</v>
      </c>
      <c r="M19" s="9" t="s">
        <v>326</v>
      </c>
      <c r="N19" s="9" t="s">
        <v>30</v>
      </c>
      <c r="O19" s="9" t="s">
        <v>327</v>
      </c>
      <c r="P19" s="9" t="s">
        <v>328</v>
      </c>
      <c r="Q19" s="10">
        <v>17916</v>
      </c>
      <c r="R19" s="10">
        <v>1325</v>
      </c>
      <c r="S19" s="11">
        <v>506.66</v>
      </c>
      <c r="T19" s="3" t="b">
        <v>1</v>
      </c>
      <c r="U19" s="3" t="b">
        <v>0</v>
      </c>
      <c r="V19" s="3" t="b">
        <v>1</v>
      </c>
    </row>
    <row r="20" spans="1:22" ht="60" x14ac:dyDescent="0.25">
      <c r="A20" s="3" t="s">
        <v>22</v>
      </c>
      <c r="B20" s="3">
        <v>2</v>
      </c>
      <c r="C20" s="4" t="s">
        <v>23</v>
      </c>
      <c r="D20" s="4" t="s">
        <v>112</v>
      </c>
      <c r="E20" s="3" t="s">
        <v>126</v>
      </c>
      <c r="F20" s="4" t="s">
        <v>127</v>
      </c>
      <c r="G20" s="5">
        <v>24</v>
      </c>
      <c r="H20" s="4" t="s">
        <v>115</v>
      </c>
      <c r="I20" s="6" t="s">
        <v>35</v>
      </c>
      <c r="J20" s="7">
        <v>2</v>
      </c>
      <c r="K20" s="8">
        <v>8.3000000000000007</v>
      </c>
      <c r="L20" s="9" t="s">
        <v>329</v>
      </c>
      <c r="M20" s="9" t="s">
        <v>330</v>
      </c>
      <c r="N20" s="9" t="s">
        <v>30</v>
      </c>
      <c r="O20" s="9" t="s">
        <v>331</v>
      </c>
      <c r="P20" s="9" t="s">
        <v>332</v>
      </c>
      <c r="Q20" s="10">
        <v>17916</v>
      </c>
      <c r="R20" s="10">
        <v>1325</v>
      </c>
      <c r="S20" s="11">
        <v>506.66</v>
      </c>
      <c r="T20" s="3" t="b">
        <v>1</v>
      </c>
      <c r="U20" s="3" t="b">
        <v>0</v>
      </c>
      <c r="V20" s="3" t="b">
        <v>1</v>
      </c>
    </row>
    <row r="21" spans="1:22" ht="60" x14ac:dyDescent="0.25">
      <c r="A21" s="3" t="s">
        <v>22</v>
      </c>
      <c r="B21" s="3">
        <v>2</v>
      </c>
      <c r="C21" s="4" t="s">
        <v>23</v>
      </c>
      <c r="D21" s="4" t="s">
        <v>112</v>
      </c>
      <c r="E21" s="3" t="s">
        <v>132</v>
      </c>
      <c r="F21" s="4" t="s">
        <v>133</v>
      </c>
      <c r="G21" s="5">
        <v>14</v>
      </c>
      <c r="H21" s="4" t="s">
        <v>115</v>
      </c>
      <c r="I21" s="6" t="s">
        <v>35</v>
      </c>
      <c r="J21" s="7">
        <v>1</v>
      </c>
      <c r="K21" s="8">
        <v>7.1</v>
      </c>
      <c r="L21" s="9" t="s">
        <v>333</v>
      </c>
      <c r="M21" s="9" t="s">
        <v>334</v>
      </c>
      <c r="N21" s="9" t="s">
        <v>30</v>
      </c>
      <c r="O21" s="9" t="s">
        <v>335</v>
      </c>
      <c r="P21" s="9" t="s">
        <v>336</v>
      </c>
      <c r="Q21" s="10">
        <v>17916</v>
      </c>
      <c r="R21" s="10">
        <v>1325</v>
      </c>
      <c r="S21" s="11">
        <v>506.66</v>
      </c>
      <c r="T21" s="3" t="b">
        <v>1</v>
      </c>
      <c r="U21" s="3" t="b">
        <v>0</v>
      </c>
      <c r="V21" s="3" t="b">
        <v>1</v>
      </c>
    </row>
    <row r="22" spans="1:22" ht="60" x14ac:dyDescent="0.25">
      <c r="A22" s="3" t="s">
        <v>22</v>
      </c>
      <c r="B22" s="3">
        <v>2</v>
      </c>
      <c r="C22" s="4" t="s">
        <v>23</v>
      </c>
      <c r="D22" s="4" t="s">
        <v>112</v>
      </c>
      <c r="E22" s="3" t="s">
        <v>138</v>
      </c>
      <c r="F22" s="4" t="s">
        <v>139</v>
      </c>
      <c r="G22" s="5">
        <v>14</v>
      </c>
      <c r="H22" s="4" t="s">
        <v>115</v>
      </c>
      <c r="I22" s="6" t="s">
        <v>35</v>
      </c>
      <c r="J22" s="7">
        <v>1</v>
      </c>
      <c r="K22" s="8">
        <v>7.1</v>
      </c>
      <c r="L22" s="9" t="s">
        <v>337</v>
      </c>
      <c r="M22" s="9" t="s">
        <v>338</v>
      </c>
      <c r="N22" s="9" t="s">
        <v>30</v>
      </c>
      <c r="O22" s="9" t="s">
        <v>339</v>
      </c>
      <c r="P22" s="9" t="s">
        <v>340</v>
      </c>
      <c r="Q22" s="10">
        <v>17916</v>
      </c>
      <c r="R22" s="10">
        <v>1325</v>
      </c>
      <c r="S22" s="11">
        <v>506.66</v>
      </c>
      <c r="T22" s="3" t="b">
        <v>1</v>
      </c>
      <c r="U22" s="3" t="b">
        <v>0</v>
      </c>
      <c r="V22" s="3" t="b">
        <v>1</v>
      </c>
    </row>
    <row r="23" spans="1:22" ht="60" x14ac:dyDescent="0.25">
      <c r="A23" s="3" t="s">
        <v>22</v>
      </c>
      <c r="B23" s="3">
        <v>2</v>
      </c>
      <c r="C23" s="4" t="s">
        <v>23</v>
      </c>
      <c r="D23" s="4" t="s">
        <v>112</v>
      </c>
      <c r="E23" s="3" t="s">
        <v>144</v>
      </c>
      <c r="F23" s="4" t="s">
        <v>145</v>
      </c>
      <c r="G23" s="5">
        <v>10</v>
      </c>
      <c r="H23" s="4" t="s">
        <v>115</v>
      </c>
      <c r="I23" s="6" t="s">
        <v>35</v>
      </c>
      <c r="J23" s="7">
        <v>2</v>
      </c>
      <c r="K23" s="8">
        <v>20</v>
      </c>
      <c r="L23" s="9" t="s">
        <v>341</v>
      </c>
      <c r="M23" s="9" t="s">
        <v>342</v>
      </c>
      <c r="N23" s="9" t="s">
        <v>30</v>
      </c>
      <c r="O23" s="9" t="s">
        <v>343</v>
      </c>
      <c r="P23" s="9" t="s">
        <v>344</v>
      </c>
      <c r="Q23" s="10">
        <v>17916</v>
      </c>
      <c r="R23" s="10">
        <v>1325</v>
      </c>
      <c r="S23" s="11">
        <v>506.66</v>
      </c>
      <c r="T23" s="3" t="b">
        <v>1</v>
      </c>
      <c r="U23" s="3" t="b">
        <v>0</v>
      </c>
      <c r="V23" s="3" t="b">
        <v>1</v>
      </c>
    </row>
    <row r="24" spans="1:22" ht="60" x14ac:dyDescent="0.25">
      <c r="A24" s="3" t="s">
        <v>22</v>
      </c>
      <c r="B24" s="3">
        <v>2</v>
      </c>
      <c r="C24" s="4" t="s">
        <v>23</v>
      </c>
      <c r="D24" s="4" t="s">
        <v>150</v>
      </c>
      <c r="E24" s="3" t="s">
        <v>151</v>
      </c>
      <c r="F24" s="4" t="s">
        <v>152</v>
      </c>
      <c r="G24" s="5">
        <v>26</v>
      </c>
      <c r="H24" s="4" t="s">
        <v>27</v>
      </c>
      <c r="I24" s="6" t="s">
        <v>35</v>
      </c>
      <c r="J24" s="7">
        <v>5</v>
      </c>
      <c r="K24" s="8">
        <v>19.2</v>
      </c>
      <c r="L24" s="9" t="s">
        <v>153</v>
      </c>
      <c r="M24" s="9" t="s">
        <v>345</v>
      </c>
      <c r="N24" s="9" t="s">
        <v>346</v>
      </c>
      <c r="O24" s="9" t="s">
        <v>347</v>
      </c>
      <c r="P24" s="9" t="s">
        <v>348</v>
      </c>
      <c r="Q24" s="10">
        <v>17220</v>
      </c>
      <c r="R24" s="10">
        <v>2964</v>
      </c>
      <c r="S24" s="11">
        <v>1069.1500000000001</v>
      </c>
      <c r="T24" s="3" t="b">
        <v>1</v>
      </c>
      <c r="U24" s="3" t="b">
        <v>0</v>
      </c>
      <c r="V24" s="3" t="b">
        <v>1</v>
      </c>
    </row>
    <row r="25" spans="1:22" ht="60" x14ac:dyDescent="0.25">
      <c r="A25" s="3" t="s">
        <v>22</v>
      </c>
      <c r="B25" s="3">
        <v>2</v>
      </c>
      <c r="C25" s="4" t="s">
        <v>23</v>
      </c>
      <c r="D25" s="4" t="s">
        <v>150</v>
      </c>
      <c r="E25" s="3" t="s">
        <v>157</v>
      </c>
      <c r="F25" s="4" t="s">
        <v>158</v>
      </c>
      <c r="G25" s="5">
        <v>20</v>
      </c>
      <c r="H25" s="4" t="s">
        <v>27</v>
      </c>
      <c r="I25" s="6" t="s">
        <v>35</v>
      </c>
      <c r="J25" s="7">
        <v>7</v>
      </c>
      <c r="K25" s="8">
        <v>35</v>
      </c>
      <c r="L25" s="9" t="s">
        <v>349</v>
      </c>
      <c r="M25" s="9" t="s">
        <v>350</v>
      </c>
      <c r="N25" s="9" t="s">
        <v>346</v>
      </c>
      <c r="O25" s="9" t="s">
        <v>351</v>
      </c>
      <c r="P25" s="9" t="s">
        <v>352</v>
      </c>
      <c r="Q25" s="10">
        <v>17220</v>
      </c>
      <c r="R25" s="10">
        <v>2964</v>
      </c>
      <c r="S25" s="11">
        <v>1069.1500000000001</v>
      </c>
      <c r="T25" s="3" t="b">
        <v>1</v>
      </c>
      <c r="U25" s="3" t="b">
        <v>0</v>
      </c>
      <c r="V25" s="3" t="b">
        <v>1</v>
      </c>
    </row>
    <row r="26" spans="1:22" ht="60" x14ac:dyDescent="0.25">
      <c r="A26" s="3" t="s">
        <v>22</v>
      </c>
      <c r="B26" s="3">
        <v>2</v>
      </c>
      <c r="C26" s="4" t="s">
        <v>23</v>
      </c>
      <c r="D26" s="4" t="s">
        <v>150</v>
      </c>
      <c r="E26" s="3" t="s">
        <v>163</v>
      </c>
      <c r="F26" s="4" t="s">
        <v>164</v>
      </c>
      <c r="G26" s="5">
        <v>14</v>
      </c>
      <c r="H26" s="4" t="s">
        <v>27</v>
      </c>
      <c r="I26" s="6" t="s">
        <v>35</v>
      </c>
      <c r="J26" s="7">
        <v>5</v>
      </c>
      <c r="K26" s="8">
        <v>35.700000000000003</v>
      </c>
      <c r="L26" s="9" t="s">
        <v>353</v>
      </c>
      <c r="M26" s="9" t="s">
        <v>354</v>
      </c>
      <c r="N26" s="9" t="s">
        <v>346</v>
      </c>
      <c r="O26" s="9" t="s">
        <v>355</v>
      </c>
      <c r="P26" s="9" t="s">
        <v>356</v>
      </c>
      <c r="Q26" s="10">
        <v>17220</v>
      </c>
      <c r="R26" s="10">
        <v>2964</v>
      </c>
      <c r="S26" s="11">
        <v>1069.1500000000001</v>
      </c>
      <c r="T26" s="3" t="b">
        <v>1</v>
      </c>
      <c r="U26" s="3" t="b">
        <v>0</v>
      </c>
      <c r="V26" s="3" t="b">
        <v>1</v>
      </c>
    </row>
    <row r="27" spans="1:22" ht="60" x14ac:dyDescent="0.25">
      <c r="A27" s="3" t="s">
        <v>22</v>
      </c>
      <c r="B27" s="3">
        <v>2</v>
      </c>
      <c r="C27" s="4" t="s">
        <v>23</v>
      </c>
      <c r="D27" s="4" t="s">
        <v>150</v>
      </c>
      <c r="E27" s="3" t="s">
        <v>169</v>
      </c>
      <c r="F27" s="4" t="s">
        <v>170</v>
      </c>
      <c r="G27" s="5">
        <v>12</v>
      </c>
      <c r="H27" s="4" t="s">
        <v>27</v>
      </c>
      <c r="I27" s="6" t="s">
        <v>35</v>
      </c>
      <c r="J27" s="7">
        <v>3</v>
      </c>
      <c r="K27" s="8">
        <v>25</v>
      </c>
      <c r="L27" s="9" t="s">
        <v>357</v>
      </c>
      <c r="M27" s="9" t="s">
        <v>358</v>
      </c>
      <c r="N27" s="9" t="s">
        <v>346</v>
      </c>
      <c r="O27" s="9" t="s">
        <v>359</v>
      </c>
      <c r="P27" s="9" t="s">
        <v>360</v>
      </c>
      <c r="Q27" s="10">
        <v>17220</v>
      </c>
      <c r="R27" s="10">
        <v>2964</v>
      </c>
      <c r="S27" s="11">
        <v>1069.1500000000001</v>
      </c>
      <c r="T27" s="3" t="b">
        <v>1</v>
      </c>
      <c r="U27" s="3" t="b">
        <v>0</v>
      </c>
      <c r="V27" s="3" t="b">
        <v>1</v>
      </c>
    </row>
    <row r="28" spans="1:22" ht="60" x14ac:dyDescent="0.25">
      <c r="A28" s="3" t="s">
        <v>22</v>
      </c>
      <c r="B28" s="3">
        <v>2</v>
      </c>
      <c r="C28" s="4" t="s">
        <v>23</v>
      </c>
      <c r="D28" s="4" t="s">
        <v>150</v>
      </c>
      <c r="E28" s="3" t="s">
        <v>175</v>
      </c>
      <c r="F28" s="4" t="s">
        <v>176</v>
      </c>
      <c r="G28" s="5">
        <v>12</v>
      </c>
      <c r="H28" s="4" t="s">
        <v>27</v>
      </c>
      <c r="I28" s="6" t="s">
        <v>35</v>
      </c>
      <c r="J28" s="7">
        <v>3</v>
      </c>
      <c r="K28" s="8">
        <v>25</v>
      </c>
      <c r="L28" s="9" t="s">
        <v>361</v>
      </c>
      <c r="M28" s="9" t="s">
        <v>362</v>
      </c>
      <c r="N28" s="9" t="s">
        <v>346</v>
      </c>
      <c r="O28" s="9" t="s">
        <v>363</v>
      </c>
      <c r="P28" s="9" t="s">
        <v>364</v>
      </c>
      <c r="Q28" s="10">
        <v>17220</v>
      </c>
      <c r="R28" s="10">
        <v>2964</v>
      </c>
      <c r="S28" s="11">
        <v>1069.1500000000001</v>
      </c>
      <c r="T28" s="3" t="b">
        <v>1</v>
      </c>
      <c r="U28" s="3" t="b">
        <v>0</v>
      </c>
      <c r="V28" s="3" t="b">
        <v>1</v>
      </c>
    </row>
    <row r="29" spans="1:22" ht="60" x14ac:dyDescent="0.25">
      <c r="A29" s="3" t="s">
        <v>22</v>
      </c>
      <c r="B29" s="3">
        <v>2</v>
      </c>
      <c r="C29" s="4" t="s">
        <v>23</v>
      </c>
      <c r="D29" s="4" t="s">
        <v>150</v>
      </c>
      <c r="E29" s="3" t="s">
        <v>181</v>
      </c>
      <c r="F29" s="4" t="s">
        <v>182</v>
      </c>
      <c r="G29" s="5">
        <v>8</v>
      </c>
      <c r="H29" s="4" t="s">
        <v>27</v>
      </c>
      <c r="I29" s="6" t="s">
        <v>35</v>
      </c>
      <c r="J29" s="7">
        <v>2</v>
      </c>
      <c r="K29" s="8">
        <v>25</v>
      </c>
      <c r="L29" s="9" t="s">
        <v>365</v>
      </c>
      <c r="M29" s="9" t="s">
        <v>366</v>
      </c>
      <c r="N29" s="9" t="s">
        <v>346</v>
      </c>
      <c r="O29" s="9" t="s">
        <v>367</v>
      </c>
      <c r="P29" s="9" t="s">
        <v>368</v>
      </c>
      <c r="Q29" s="10">
        <v>17220</v>
      </c>
      <c r="R29" s="10">
        <v>2964</v>
      </c>
      <c r="S29" s="11">
        <v>1069.1500000000001</v>
      </c>
      <c r="T29" s="3" t="b">
        <v>1</v>
      </c>
      <c r="U29" s="3" t="b">
        <v>0</v>
      </c>
      <c r="V29" s="3" t="b">
        <v>1</v>
      </c>
    </row>
    <row r="30" spans="1:22" ht="60" x14ac:dyDescent="0.25">
      <c r="A30" s="3" t="s">
        <v>22</v>
      </c>
      <c r="B30" s="3">
        <v>2</v>
      </c>
      <c r="C30" s="4" t="s">
        <v>23</v>
      </c>
      <c r="D30" s="4" t="s">
        <v>150</v>
      </c>
      <c r="E30" s="3" t="s">
        <v>187</v>
      </c>
      <c r="F30" s="4" t="s">
        <v>188</v>
      </c>
      <c r="G30" s="5">
        <v>14</v>
      </c>
      <c r="H30" s="4" t="s">
        <v>27</v>
      </c>
      <c r="I30" s="6" t="s">
        <v>35</v>
      </c>
      <c r="J30" s="7">
        <v>7</v>
      </c>
      <c r="K30" s="8">
        <v>50</v>
      </c>
      <c r="L30" s="9" t="s">
        <v>369</v>
      </c>
      <c r="M30" s="9" t="s">
        <v>370</v>
      </c>
      <c r="N30" s="9" t="s">
        <v>346</v>
      </c>
      <c r="O30" s="9" t="s">
        <v>371</v>
      </c>
      <c r="P30" s="9" t="s">
        <v>372</v>
      </c>
      <c r="Q30" s="10">
        <v>17220</v>
      </c>
      <c r="R30" s="10">
        <v>2964</v>
      </c>
      <c r="S30" s="11">
        <v>1069.1500000000001</v>
      </c>
      <c r="T30" s="3" t="b">
        <v>1</v>
      </c>
      <c r="U30" s="3" t="b">
        <v>0</v>
      </c>
      <c r="V30" s="3" t="b">
        <v>1</v>
      </c>
    </row>
    <row r="31" spans="1:22" ht="60" x14ac:dyDescent="0.25">
      <c r="A31" s="3" t="s">
        <v>22</v>
      </c>
      <c r="B31" s="3">
        <v>2</v>
      </c>
      <c r="C31" s="4" t="s">
        <v>23</v>
      </c>
      <c r="D31" s="4" t="s">
        <v>150</v>
      </c>
      <c r="E31" s="3" t="s">
        <v>193</v>
      </c>
      <c r="F31" s="4" t="s">
        <v>194</v>
      </c>
      <c r="G31" s="5">
        <v>16</v>
      </c>
      <c r="H31" s="4" t="s">
        <v>27</v>
      </c>
      <c r="I31" s="6" t="s">
        <v>35</v>
      </c>
      <c r="J31" s="7">
        <v>5</v>
      </c>
      <c r="K31" s="8">
        <v>31.2</v>
      </c>
      <c r="L31" s="9" t="s">
        <v>373</v>
      </c>
      <c r="M31" s="9" t="s">
        <v>374</v>
      </c>
      <c r="N31" s="9" t="s">
        <v>346</v>
      </c>
      <c r="O31" s="9" t="s">
        <v>375</v>
      </c>
      <c r="P31" s="9" t="s">
        <v>376</v>
      </c>
      <c r="Q31" s="10">
        <v>17220</v>
      </c>
      <c r="R31" s="10">
        <v>2964</v>
      </c>
      <c r="S31" s="11">
        <v>1069.1500000000001</v>
      </c>
      <c r="T31" s="3" t="b">
        <v>1</v>
      </c>
      <c r="U31" s="3" t="b">
        <v>0</v>
      </c>
      <c r="V31" s="3" t="b">
        <v>1</v>
      </c>
    </row>
    <row r="32" spans="1:22" ht="60" x14ac:dyDescent="0.25">
      <c r="A32" s="3" t="s">
        <v>22</v>
      </c>
      <c r="B32" s="3">
        <v>2</v>
      </c>
      <c r="C32" s="4" t="s">
        <v>23</v>
      </c>
      <c r="D32" s="4" t="s">
        <v>150</v>
      </c>
      <c r="E32" s="3" t="s">
        <v>199</v>
      </c>
      <c r="F32" s="4" t="s">
        <v>200</v>
      </c>
      <c r="G32" s="5">
        <v>14</v>
      </c>
      <c r="H32" s="4" t="s">
        <v>27</v>
      </c>
      <c r="I32" s="6" t="s">
        <v>35</v>
      </c>
      <c r="J32" s="7">
        <v>5</v>
      </c>
      <c r="K32" s="8">
        <v>35.700000000000003</v>
      </c>
      <c r="L32" s="9" t="s">
        <v>377</v>
      </c>
      <c r="M32" s="9" t="s">
        <v>378</v>
      </c>
      <c r="N32" s="9" t="s">
        <v>346</v>
      </c>
      <c r="O32" s="9" t="s">
        <v>379</v>
      </c>
      <c r="P32" s="9" t="s">
        <v>380</v>
      </c>
      <c r="Q32" s="10">
        <v>17220</v>
      </c>
      <c r="R32" s="10">
        <v>2964</v>
      </c>
      <c r="S32" s="11">
        <v>1069.1500000000001</v>
      </c>
      <c r="T32" s="3" t="b">
        <v>1</v>
      </c>
      <c r="U32" s="3" t="b">
        <v>0</v>
      </c>
      <c r="V32" s="3" t="b">
        <v>1</v>
      </c>
    </row>
    <row r="33" spans="1:22" ht="60" x14ac:dyDescent="0.25">
      <c r="A33" s="3" t="s">
        <v>22</v>
      </c>
      <c r="B33" s="3">
        <v>2</v>
      </c>
      <c r="C33" s="4" t="s">
        <v>23</v>
      </c>
      <c r="D33" s="4" t="s">
        <v>150</v>
      </c>
      <c r="E33" s="3" t="s">
        <v>205</v>
      </c>
      <c r="F33" s="4" t="s">
        <v>206</v>
      </c>
      <c r="G33" s="5">
        <v>18</v>
      </c>
      <c r="H33" s="4" t="s">
        <v>27</v>
      </c>
      <c r="I33" s="6" t="s">
        <v>35</v>
      </c>
      <c r="J33" s="7">
        <v>6</v>
      </c>
      <c r="K33" s="8">
        <v>33.299999999999997</v>
      </c>
      <c r="L33" s="9" t="s">
        <v>381</v>
      </c>
      <c r="M33" s="9" t="s">
        <v>382</v>
      </c>
      <c r="N33" s="9" t="s">
        <v>346</v>
      </c>
      <c r="O33" s="9" t="s">
        <v>383</v>
      </c>
      <c r="P33" s="9" t="s">
        <v>384</v>
      </c>
      <c r="Q33" s="10">
        <v>17220</v>
      </c>
      <c r="R33" s="10">
        <v>2964</v>
      </c>
      <c r="S33" s="11">
        <v>1069.1500000000001</v>
      </c>
      <c r="T33" s="3" t="b">
        <v>1</v>
      </c>
      <c r="U33" s="3" t="b">
        <v>0</v>
      </c>
      <c r="V33" s="3" t="b">
        <v>1</v>
      </c>
    </row>
    <row r="34" spans="1:22" ht="60" x14ac:dyDescent="0.25">
      <c r="A34" s="3" t="s">
        <v>22</v>
      </c>
      <c r="B34" s="3">
        <v>2</v>
      </c>
      <c r="C34" s="4" t="s">
        <v>23</v>
      </c>
      <c r="D34" s="4" t="s">
        <v>150</v>
      </c>
      <c r="E34" s="3" t="s">
        <v>211</v>
      </c>
      <c r="F34" s="4" t="s">
        <v>212</v>
      </c>
      <c r="G34" s="5">
        <v>18</v>
      </c>
      <c r="H34" s="4" t="s">
        <v>27</v>
      </c>
      <c r="I34" s="6" t="s">
        <v>35</v>
      </c>
      <c r="J34" s="7">
        <v>2</v>
      </c>
      <c r="K34" s="8">
        <v>11.1</v>
      </c>
      <c r="L34" s="9" t="s">
        <v>385</v>
      </c>
      <c r="M34" s="9" t="s">
        <v>386</v>
      </c>
      <c r="N34" s="9" t="s">
        <v>346</v>
      </c>
      <c r="O34" s="9" t="s">
        <v>387</v>
      </c>
      <c r="P34" s="9" t="s">
        <v>388</v>
      </c>
      <c r="Q34" s="10">
        <v>17220</v>
      </c>
      <c r="R34" s="10">
        <v>2964</v>
      </c>
      <c r="S34" s="11">
        <v>1069.1500000000001</v>
      </c>
      <c r="T34" s="3" t="b">
        <v>1</v>
      </c>
      <c r="U34" s="3" t="b">
        <v>0</v>
      </c>
      <c r="V34" s="3" t="b">
        <v>1</v>
      </c>
    </row>
    <row r="35" spans="1:22" ht="60" x14ac:dyDescent="0.25">
      <c r="A35" s="3" t="s">
        <v>22</v>
      </c>
      <c r="B35" s="3">
        <v>2</v>
      </c>
      <c r="C35" s="4" t="s">
        <v>23</v>
      </c>
      <c r="D35" s="4" t="s">
        <v>150</v>
      </c>
      <c r="E35" s="3" t="s">
        <v>215</v>
      </c>
      <c r="F35" s="4" t="s">
        <v>216</v>
      </c>
      <c r="G35" s="5">
        <v>14</v>
      </c>
      <c r="H35" s="4" t="s">
        <v>27</v>
      </c>
      <c r="I35" s="6" t="s">
        <v>35</v>
      </c>
      <c r="J35" s="7">
        <v>3</v>
      </c>
      <c r="K35" s="8">
        <v>21.4</v>
      </c>
      <c r="L35" s="9" t="s">
        <v>389</v>
      </c>
      <c r="M35" s="9" t="s">
        <v>390</v>
      </c>
      <c r="N35" s="9" t="s">
        <v>346</v>
      </c>
      <c r="O35" s="9" t="s">
        <v>391</v>
      </c>
      <c r="P35" s="9" t="s">
        <v>392</v>
      </c>
      <c r="Q35" s="10">
        <v>17220</v>
      </c>
      <c r="R35" s="10">
        <v>2964</v>
      </c>
      <c r="S35" s="11">
        <v>1069.1500000000001</v>
      </c>
      <c r="T35" s="3" t="b">
        <v>1</v>
      </c>
      <c r="U35" s="3" t="b">
        <v>0</v>
      </c>
      <c r="V35" s="3" t="b">
        <v>1</v>
      </c>
    </row>
    <row r="36" spans="1:22" ht="60" x14ac:dyDescent="0.25">
      <c r="A36" s="3" t="s">
        <v>22</v>
      </c>
      <c r="B36" s="3">
        <v>2</v>
      </c>
      <c r="C36" s="4" t="s">
        <v>23</v>
      </c>
      <c r="D36" s="4" t="s">
        <v>221</v>
      </c>
      <c r="E36" s="3" t="s">
        <v>222</v>
      </c>
      <c r="F36" s="4" t="s">
        <v>223</v>
      </c>
      <c r="G36" s="5">
        <v>12</v>
      </c>
      <c r="H36" s="4" t="s">
        <v>27</v>
      </c>
      <c r="I36" s="6" t="s">
        <v>28</v>
      </c>
      <c r="J36" s="7">
        <v>0</v>
      </c>
      <c r="K36" s="8">
        <v>0</v>
      </c>
      <c r="L36" s="9"/>
      <c r="M36" s="9" t="s">
        <v>224</v>
      </c>
      <c r="N36" s="9" t="s">
        <v>30</v>
      </c>
      <c r="O36" s="9" t="s">
        <v>225</v>
      </c>
      <c r="P36" s="9" t="s">
        <v>226</v>
      </c>
      <c r="Q36" s="10">
        <v>17210</v>
      </c>
      <c r="R36" s="10">
        <v>2644</v>
      </c>
      <c r="S36" s="11">
        <v>930.85</v>
      </c>
      <c r="T36" s="3" t="b">
        <v>1</v>
      </c>
      <c r="U36" s="3" t="b">
        <v>0</v>
      </c>
      <c r="V36" s="3" t="b">
        <v>1</v>
      </c>
    </row>
    <row r="37" spans="1:22" ht="60" x14ac:dyDescent="0.25">
      <c r="A37" s="3" t="s">
        <v>22</v>
      </c>
      <c r="B37" s="3">
        <v>2</v>
      </c>
      <c r="C37" s="4" t="s">
        <v>23</v>
      </c>
      <c r="D37" s="4" t="s">
        <v>221</v>
      </c>
      <c r="E37" s="3" t="s">
        <v>227</v>
      </c>
      <c r="F37" s="4" t="s">
        <v>228</v>
      </c>
      <c r="G37" s="5">
        <v>10</v>
      </c>
      <c r="H37" s="4" t="s">
        <v>27</v>
      </c>
      <c r="I37" s="6" t="s">
        <v>28</v>
      </c>
      <c r="J37" s="7">
        <v>0</v>
      </c>
      <c r="K37" s="8">
        <v>0</v>
      </c>
      <c r="L37" s="9"/>
      <c r="M37" s="9" t="s">
        <v>229</v>
      </c>
      <c r="N37" s="9" t="s">
        <v>30</v>
      </c>
      <c r="O37" s="9" t="s">
        <v>230</v>
      </c>
      <c r="P37" s="9" t="s">
        <v>231</v>
      </c>
      <c r="Q37" s="10">
        <v>17210</v>
      </c>
      <c r="R37" s="10">
        <v>2644</v>
      </c>
      <c r="S37" s="11">
        <v>930.85</v>
      </c>
      <c r="T37" s="3" t="b">
        <v>1</v>
      </c>
      <c r="U37" s="3" t="b">
        <v>0</v>
      </c>
      <c r="V37" s="3" t="b">
        <v>1</v>
      </c>
    </row>
    <row r="38" spans="1:22" ht="60" x14ac:dyDescent="0.25">
      <c r="A38" s="3" t="s">
        <v>22</v>
      </c>
      <c r="B38" s="3">
        <v>2</v>
      </c>
      <c r="C38" s="4" t="s">
        <v>23</v>
      </c>
      <c r="D38" s="4" t="s">
        <v>221</v>
      </c>
      <c r="E38" s="3" t="s">
        <v>232</v>
      </c>
      <c r="F38" s="4" t="s">
        <v>233</v>
      </c>
      <c r="G38" s="5">
        <v>8</v>
      </c>
      <c r="H38" s="4" t="s">
        <v>27</v>
      </c>
      <c r="I38" s="6" t="s">
        <v>28</v>
      </c>
      <c r="J38" s="7">
        <v>0</v>
      </c>
      <c r="K38" s="8">
        <v>0</v>
      </c>
      <c r="L38" s="9"/>
      <c r="M38" s="9" t="s">
        <v>234</v>
      </c>
      <c r="N38" s="9" t="s">
        <v>30</v>
      </c>
      <c r="O38" s="9" t="s">
        <v>235</v>
      </c>
      <c r="P38" s="9" t="s">
        <v>236</v>
      </c>
      <c r="Q38" s="10">
        <v>17210</v>
      </c>
      <c r="R38" s="10">
        <v>2644</v>
      </c>
      <c r="S38" s="11">
        <v>930.85</v>
      </c>
      <c r="T38" s="3" t="b">
        <v>1</v>
      </c>
      <c r="U38" s="3" t="b">
        <v>0</v>
      </c>
      <c r="V38" s="3" t="b">
        <v>1</v>
      </c>
    </row>
    <row r="39" spans="1:22" ht="60" x14ac:dyDescent="0.25">
      <c r="A39" s="3" t="s">
        <v>22</v>
      </c>
      <c r="B39" s="3">
        <v>2</v>
      </c>
      <c r="C39" s="4" t="s">
        <v>23</v>
      </c>
      <c r="D39" s="4" t="s">
        <v>221</v>
      </c>
      <c r="E39" s="3" t="s">
        <v>237</v>
      </c>
      <c r="F39" s="4" t="s">
        <v>238</v>
      </c>
      <c r="G39" s="5">
        <v>10</v>
      </c>
      <c r="H39" s="4" t="s">
        <v>27</v>
      </c>
      <c r="I39" s="6" t="s">
        <v>28</v>
      </c>
      <c r="J39" s="7">
        <v>0</v>
      </c>
      <c r="K39" s="8">
        <v>0</v>
      </c>
      <c r="L39" s="9"/>
      <c r="M39" s="9" t="s">
        <v>239</v>
      </c>
      <c r="N39" s="9" t="s">
        <v>30</v>
      </c>
      <c r="O39" s="9" t="s">
        <v>240</v>
      </c>
      <c r="P39" s="9" t="s">
        <v>241</v>
      </c>
      <c r="Q39" s="10">
        <v>17210</v>
      </c>
      <c r="R39" s="10">
        <v>2644</v>
      </c>
      <c r="S39" s="11">
        <v>930.85</v>
      </c>
      <c r="T39" s="3" t="b">
        <v>1</v>
      </c>
      <c r="U39" s="3" t="b">
        <v>0</v>
      </c>
      <c r="V39" s="3" t="b">
        <v>1</v>
      </c>
    </row>
    <row r="40" spans="1:22" ht="60" x14ac:dyDescent="0.25">
      <c r="A40" s="3" t="s">
        <v>22</v>
      </c>
      <c r="B40" s="3">
        <v>2</v>
      </c>
      <c r="C40" s="4" t="s">
        <v>23</v>
      </c>
      <c r="D40" s="4" t="s">
        <v>221</v>
      </c>
      <c r="E40" s="3" t="s">
        <v>242</v>
      </c>
      <c r="F40" s="4" t="s">
        <v>243</v>
      </c>
      <c r="G40" s="5">
        <v>6</v>
      </c>
      <c r="H40" s="4" t="s">
        <v>27</v>
      </c>
      <c r="I40" s="6" t="s">
        <v>28</v>
      </c>
      <c r="J40" s="7">
        <v>0</v>
      </c>
      <c r="K40" s="8">
        <v>0</v>
      </c>
      <c r="L40" s="9"/>
      <c r="M40" s="9" t="s">
        <v>244</v>
      </c>
      <c r="N40" s="9" t="s">
        <v>30</v>
      </c>
      <c r="O40" s="9" t="s">
        <v>245</v>
      </c>
      <c r="P40" s="9" t="s">
        <v>246</v>
      </c>
      <c r="Q40" s="10">
        <v>17210</v>
      </c>
      <c r="R40" s="10">
        <v>2644</v>
      </c>
      <c r="S40" s="11">
        <v>930.85</v>
      </c>
      <c r="T40" s="3" t="b">
        <v>1</v>
      </c>
      <c r="U40" s="3" t="b">
        <v>0</v>
      </c>
      <c r="V40" s="3" t="b">
        <v>1</v>
      </c>
    </row>
    <row r="41" spans="1:22" ht="60" x14ac:dyDescent="0.25">
      <c r="A41" s="3" t="s">
        <v>22</v>
      </c>
      <c r="B41" s="3">
        <v>2</v>
      </c>
      <c r="C41" s="4" t="s">
        <v>23</v>
      </c>
      <c r="D41" s="4" t="s">
        <v>221</v>
      </c>
      <c r="E41" s="3" t="s">
        <v>247</v>
      </c>
      <c r="F41" s="4" t="s">
        <v>248</v>
      </c>
      <c r="G41" s="5">
        <v>20</v>
      </c>
      <c r="H41" s="4" t="s">
        <v>27</v>
      </c>
      <c r="I41" s="6" t="s">
        <v>28</v>
      </c>
      <c r="J41" s="7">
        <v>0</v>
      </c>
      <c r="K41" s="8">
        <v>0</v>
      </c>
      <c r="L41" s="9"/>
      <c r="M41" s="9" t="s">
        <v>249</v>
      </c>
      <c r="N41" s="9" t="s">
        <v>30</v>
      </c>
      <c r="O41" s="9" t="s">
        <v>250</v>
      </c>
      <c r="P41" s="9" t="s">
        <v>393</v>
      </c>
      <c r="Q41" s="10">
        <v>17210</v>
      </c>
      <c r="R41" s="10">
        <v>2644</v>
      </c>
      <c r="S41" s="11">
        <v>930.85</v>
      </c>
      <c r="T41" s="3" t="b">
        <v>1</v>
      </c>
      <c r="U41" s="3" t="b">
        <v>0</v>
      </c>
      <c r="V41" s="3" t="b">
        <v>1</v>
      </c>
    </row>
    <row r="42" spans="1:22" ht="60" x14ac:dyDescent="0.25">
      <c r="A42" s="3" t="s">
        <v>22</v>
      </c>
      <c r="B42" s="3">
        <v>2</v>
      </c>
      <c r="C42" s="4" t="s">
        <v>23</v>
      </c>
      <c r="D42" s="4" t="s">
        <v>221</v>
      </c>
      <c r="E42" s="3" t="s">
        <v>252</v>
      </c>
      <c r="F42" s="4" t="s">
        <v>253</v>
      </c>
      <c r="G42" s="5">
        <v>12</v>
      </c>
      <c r="H42" s="4" t="s">
        <v>27</v>
      </c>
      <c r="I42" s="6" t="s">
        <v>28</v>
      </c>
      <c r="J42" s="7">
        <v>0</v>
      </c>
      <c r="K42" s="8">
        <v>0</v>
      </c>
      <c r="L42" s="9"/>
      <c r="M42" s="9" t="s">
        <v>254</v>
      </c>
      <c r="N42" s="9" t="s">
        <v>30</v>
      </c>
      <c r="O42" s="9" t="s">
        <v>255</v>
      </c>
      <c r="P42" s="9" t="s">
        <v>394</v>
      </c>
      <c r="Q42" s="10">
        <v>17210</v>
      </c>
      <c r="R42" s="10">
        <v>2644</v>
      </c>
      <c r="S42" s="11">
        <v>930.85</v>
      </c>
      <c r="T42" s="3" t="b">
        <v>1</v>
      </c>
      <c r="U42" s="3" t="b">
        <v>0</v>
      </c>
      <c r="V42" s="3" t="b">
        <v>1</v>
      </c>
    </row>
    <row r="43" spans="1:22" ht="60" x14ac:dyDescent="0.25">
      <c r="A43" s="3" t="s">
        <v>22</v>
      </c>
      <c r="B43" s="3">
        <v>2</v>
      </c>
      <c r="C43" s="4" t="s">
        <v>23</v>
      </c>
      <c r="D43" s="4" t="s">
        <v>221</v>
      </c>
      <c r="E43" s="3" t="s">
        <v>257</v>
      </c>
      <c r="F43" s="4" t="s">
        <v>258</v>
      </c>
      <c r="G43" s="5">
        <v>10</v>
      </c>
      <c r="H43" s="4" t="s">
        <v>27</v>
      </c>
      <c r="I43" s="6" t="s">
        <v>28</v>
      </c>
      <c r="J43" s="7">
        <v>0</v>
      </c>
      <c r="K43" s="8">
        <v>0</v>
      </c>
      <c r="L43" s="9"/>
      <c r="M43" s="9" t="s">
        <v>259</v>
      </c>
      <c r="N43" s="9" t="s">
        <v>30</v>
      </c>
      <c r="O43" s="9" t="s">
        <v>260</v>
      </c>
      <c r="P43" s="9" t="s">
        <v>261</v>
      </c>
      <c r="Q43" s="10">
        <v>17210</v>
      </c>
      <c r="R43" s="10">
        <v>2644</v>
      </c>
      <c r="S43" s="11">
        <v>930.85</v>
      </c>
      <c r="T43" s="3" t="b">
        <v>1</v>
      </c>
      <c r="U43" s="3" t="b">
        <v>0</v>
      </c>
      <c r="V43" s="3" t="b">
        <v>1</v>
      </c>
    </row>
    <row r="44" spans="1:22" ht="60" x14ac:dyDescent="0.25">
      <c r="A44" s="3" t="s">
        <v>22</v>
      </c>
      <c r="B44" s="3">
        <v>2</v>
      </c>
      <c r="C44" s="4" t="s">
        <v>23</v>
      </c>
      <c r="D44" s="4" t="s">
        <v>221</v>
      </c>
      <c r="E44" s="3" t="s">
        <v>262</v>
      </c>
      <c r="F44" s="4" t="s">
        <v>263</v>
      </c>
      <c r="G44" s="5">
        <v>8</v>
      </c>
      <c r="H44" s="4" t="s">
        <v>27</v>
      </c>
      <c r="I44" s="6" t="s">
        <v>28</v>
      </c>
      <c r="J44" s="7">
        <v>0</v>
      </c>
      <c r="K44" s="8">
        <v>0</v>
      </c>
      <c r="L44" s="9"/>
      <c r="M44" s="9" t="s">
        <v>395</v>
      </c>
      <c r="N44" s="9" t="s">
        <v>30</v>
      </c>
      <c r="O44" s="9" t="s">
        <v>265</v>
      </c>
      <c r="P44" s="9" t="s">
        <v>266</v>
      </c>
      <c r="Q44" s="10">
        <v>17210</v>
      </c>
      <c r="R44" s="10">
        <v>2644</v>
      </c>
      <c r="S44" s="11">
        <v>930.85</v>
      </c>
      <c r="T44" s="3" t="b">
        <v>1</v>
      </c>
      <c r="U44" s="3" t="b">
        <v>0</v>
      </c>
      <c r="V44" s="3" t="b">
        <v>1</v>
      </c>
    </row>
    <row r="45" spans="1:22" ht="60" x14ac:dyDescent="0.25">
      <c r="A45" s="3" t="s">
        <v>22</v>
      </c>
      <c r="B45" s="3">
        <v>2</v>
      </c>
      <c r="C45" s="4" t="s">
        <v>23</v>
      </c>
      <c r="D45" s="4" t="s">
        <v>221</v>
      </c>
      <c r="E45" s="3" t="s">
        <v>267</v>
      </c>
      <c r="F45" s="4" t="s">
        <v>268</v>
      </c>
      <c r="G45" s="5">
        <v>14</v>
      </c>
      <c r="H45" s="4" t="s">
        <v>27</v>
      </c>
      <c r="I45" s="6" t="s">
        <v>28</v>
      </c>
      <c r="J45" s="7">
        <v>0</v>
      </c>
      <c r="K45" s="8">
        <v>0</v>
      </c>
      <c r="L45" s="9"/>
      <c r="M45" s="9" t="s">
        <v>269</v>
      </c>
      <c r="N45" s="9" t="s">
        <v>30</v>
      </c>
      <c r="O45" s="9" t="s">
        <v>270</v>
      </c>
      <c r="P45" s="9" t="s">
        <v>271</v>
      </c>
      <c r="Q45" s="10">
        <v>17210</v>
      </c>
      <c r="R45" s="10">
        <v>2644</v>
      </c>
      <c r="S45" s="11">
        <v>930.85</v>
      </c>
      <c r="T45" s="3" t="b">
        <v>1</v>
      </c>
      <c r="U45" s="3" t="b">
        <v>0</v>
      </c>
      <c r="V45" s="3" t="b">
        <v>1</v>
      </c>
    </row>
    <row r="46" spans="1:22" ht="60" x14ac:dyDescent="0.25">
      <c r="A46" s="3" t="s">
        <v>22</v>
      </c>
      <c r="B46" s="3">
        <v>2</v>
      </c>
      <c r="C46" s="4" t="s">
        <v>23</v>
      </c>
      <c r="D46" s="4" t="s">
        <v>221</v>
      </c>
      <c r="E46" s="3" t="s">
        <v>272</v>
      </c>
      <c r="F46" s="4" t="s">
        <v>273</v>
      </c>
      <c r="G46" s="5">
        <v>12</v>
      </c>
      <c r="H46" s="4" t="s">
        <v>27</v>
      </c>
      <c r="I46" s="6" t="s">
        <v>28</v>
      </c>
      <c r="J46" s="7">
        <v>0</v>
      </c>
      <c r="K46" s="8">
        <v>0</v>
      </c>
      <c r="L46" s="9"/>
      <c r="M46" s="9" t="s">
        <v>274</v>
      </c>
      <c r="N46" s="9" t="s">
        <v>30</v>
      </c>
      <c r="O46" s="9" t="s">
        <v>275</v>
      </c>
      <c r="P46" s="9" t="s">
        <v>396</v>
      </c>
      <c r="Q46" s="10">
        <v>17210</v>
      </c>
      <c r="R46" s="10">
        <v>2644</v>
      </c>
      <c r="S46" s="11">
        <v>930.85</v>
      </c>
      <c r="T46" s="3" t="b">
        <v>1</v>
      </c>
      <c r="U46" s="3" t="b">
        <v>0</v>
      </c>
      <c r="V46" s="3" t="b">
        <v>1</v>
      </c>
    </row>
    <row r="47" spans="1:22" ht="60" x14ac:dyDescent="0.25">
      <c r="A47" s="3" t="s">
        <v>22</v>
      </c>
      <c r="B47" s="3">
        <v>2</v>
      </c>
      <c r="C47" s="4" t="s">
        <v>23</v>
      </c>
      <c r="D47" s="4" t="s">
        <v>221</v>
      </c>
      <c r="E47" s="3" t="s">
        <v>277</v>
      </c>
      <c r="F47" s="4" t="s">
        <v>278</v>
      </c>
      <c r="G47" s="5">
        <v>10</v>
      </c>
      <c r="H47" s="4" t="s">
        <v>27</v>
      </c>
      <c r="I47" s="6" t="s">
        <v>28</v>
      </c>
      <c r="J47" s="7">
        <v>0</v>
      </c>
      <c r="K47" s="8">
        <v>0</v>
      </c>
      <c r="L47" s="9"/>
      <c r="M47" s="9" t="s">
        <v>279</v>
      </c>
      <c r="N47" s="9" t="s">
        <v>30</v>
      </c>
      <c r="O47" s="9" t="s">
        <v>280</v>
      </c>
      <c r="P47" s="9" t="s">
        <v>397</v>
      </c>
      <c r="Q47" s="10">
        <v>17210</v>
      </c>
      <c r="R47" s="10">
        <v>2644</v>
      </c>
      <c r="S47" s="11">
        <v>930.85</v>
      </c>
      <c r="T47" s="3" t="b">
        <v>1</v>
      </c>
      <c r="U47" s="3" t="b">
        <v>0</v>
      </c>
      <c r="V47" s="3" t="b">
        <v>1</v>
      </c>
    </row>
    <row r="48" spans="1:22" ht="60" x14ac:dyDescent="0.25">
      <c r="A48" s="3" t="s">
        <v>22</v>
      </c>
      <c r="B48" s="3">
        <v>2</v>
      </c>
      <c r="C48" s="4" t="s">
        <v>23</v>
      </c>
      <c r="D48" s="4" t="s">
        <v>221</v>
      </c>
      <c r="E48" s="3" t="s">
        <v>282</v>
      </c>
      <c r="F48" s="4" t="s">
        <v>283</v>
      </c>
      <c r="G48" s="5">
        <v>8</v>
      </c>
      <c r="H48" s="4" t="s">
        <v>27</v>
      </c>
      <c r="I48" s="6" t="s">
        <v>28</v>
      </c>
      <c r="J48" s="7">
        <v>0</v>
      </c>
      <c r="K48" s="8">
        <v>0</v>
      </c>
      <c r="L48" s="9"/>
      <c r="M48" s="9" t="s">
        <v>284</v>
      </c>
      <c r="N48" s="9" t="s">
        <v>30</v>
      </c>
      <c r="O48" s="9" t="s">
        <v>285</v>
      </c>
      <c r="P48" s="9" t="s">
        <v>286</v>
      </c>
      <c r="Q48" s="10">
        <v>17210</v>
      </c>
      <c r="R48" s="10">
        <v>2644</v>
      </c>
      <c r="S48" s="11">
        <v>930.85</v>
      </c>
      <c r="T48" s="3" t="b">
        <v>1</v>
      </c>
      <c r="U48" s="3" t="b">
        <v>0</v>
      </c>
      <c r="V48" s="3" t="b">
        <v>1</v>
      </c>
    </row>
  </sheetData>
  <autoFilter ref="A1:V48" xr:uid="{00000000-0009-0000-0000-000001000000}"/>
  <conditionalFormatting sqref="D2:D48">
    <cfRule type="containsText" dxfId="259" priority="20" operator="containsText" text="Climate And Resilience">
      <formula>NOT(ISERROR(SEARCH("Climate And Resilience",D2)))</formula>
    </cfRule>
    <cfRule type="containsText" dxfId="258" priority="21" operator="containsText" text="Leadership">
      <formula>NOT(ISERROR(SEARCH("Leadership",D2)))</formula>
    </cfRule>
    <cfRule type="containsText" dxfId="257" priority="22" operator="containsText" text="Natural World">
      <formula>NOT(ISERROR(SEARCH("Natural World",D2)))</formula>
    </cfRule>
    <cfRule type="containsText" dxfId="256" priority="23" operator="containsText" text="Quality Of Life">
      <formula>NOT(ISERROR(SEARCH("Quality Of Life",D2)))</formula>
    </cfRule>
    <cfRule type="containsText" dxfId="255" priority="24" operator="containsText" text="Resource Allocation">
      <formula>NOT(ISERROR(SEARCH("Resource Allocation",D2)))</formula>
    </cfRule>
  </conditionalFormatting>
  <conditionalFormatting sqref="G2:G48">
    <cfRule type="dataBar" priority="389">
      <dataBar>
        <cfvo type="min"/>
        <cfvo type="max"/>
        <color rgb="FF5B9BD5"/>
      </dataBar>
    </cfRule>
  </conditionalFormatting>
  <conditionalFormatting sqref="H2:H48">
    <cfRule type="containsText" dxfId="254" priority="10" operator="containsText" text="Not Applicable">
      <formula>NOT(ISERROR(SEARCH("Not Applicable",H2)))</formula>
    </cfRule>
    <cfRule type="containsText" dxfId="253" priority="11" operator="containsText" text="Applicable">
      <formula>NOT(ISERROR(SEARCH("Applicable",H2)))</formula>
    </cfRule>
  </conditionalFormatting>
  <conditionalFormatting sqref="I2:I48">
    <cfRule type="containsText" dxfId="252" priority="4" operator="containsText" text="No Level">
      <formula>NOT(ISERROR(SEARCH("No Level",I2)))</formula>
    </cfRule>
    <cfRule type="containsText" dxfId="251" priority="5" operator="containsText" text="Improved">
      <formula>NOT(ISERROR(SEARCH("Improved",I2)))</formula>
    </cfRule>
    <cfRule type="containsText" dxfId="250" priority="6" operator="containsText" text="Enhanced">
      <formula>NOT(ISERROR(SEARCH("Enhanced",I2)))</formula>
    </cfRule>
    <cfRule type="containsText" dxfId="249" priority="7" operator="containsText" text="Superior">
      <formula>NOT(ISERROR(SEARCH("Superior",I2)))</formula>
    </cfRule>
    <cfRule type="containsText" dxfId="248" priority="8" operator="containsText" text="Conserving">
      <formula>NOT(ISERROR(SEARCH("Conserving",I2)))</formula>
    </cfRule>
    <cfRule type="containsText" dxfId="247" priority="9" operator="containsText" text="Restorative">
      <formula>NOT(ISERROR(SEARCH("Restorative",I2)))</formula>
    </cfRule>
  </conditionalFormatting>
  <conditionalFormatting sqref="J2:J48">
    <cfRule type="dataBar" priority="390">
      <dataBar>
        <cfvo type="min"/>
        <cfvo type="max"/>
        <color rgb="FF70AD47"/>
      </dataBar>
    </cfRule>
  </conditionalFormatting>
  <conditionalFormatting sqref="K2:K4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48">
    <cfRule type="dataBar" priority="391">
      <dataBar>
        <cfvo type="min"/>
        <cfvo type="max"/>
        <color rgb="FFA5A5A5"/>
      </dataBar>
    </cfRule>
  </conditionalFormatting>
  <conditionalFormatting sqref="S2:S48">
    <cfRule type="dataBar" priority="392">
      <dataBar>
        <cfvo type="min"/>
        <cfvo type="max"/>
        <color rgb="FFED7D31"/>
      </dataBar>
    </cfRule>
  </conditionalFormatting>
  <conditionalFormatting sqref="T2:T48">
    <cfRule type="cellIs" dxfId="246" priority="14" operator="equal">
      <formula>TRUE</formula>
    </cfRule>
    <cfRule type="cellIs" dxfId="245" priority="15" operator="equal">
      <formula>FALSE</formula>
    </cfRule>
  </conditionalFormatting>
  <conditionalFormatting sqref="U2:U48">
    <cfRule type="cellIs" dxfId="244" priority="16" operator="equal">
      <formula>TRUE</formula>
    </cfRule>
    <cfRule type="cellIs" dxfId="243" priority="17" operator="equal">
      <formula>FALSE</formula>
    </cfRule>
  </conditionalFormatting>
  <conditionalFormatting sqref="V2:V48">
    <cfRule type="cellIs" dxfId="242" priority="18" operator="equal">
      <formula>TRUE</formula>
    </cfRule>
    <cfRule type="cellIs" dxfId="241" priority="19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8"/>
  <sheetViews>
    <sheetView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45" x14ac:dyDescent="0.25">
      <c r="A2" s="3" t="s">
        <v>22</v>
      </c>
      <c r="B2" s="3">
        <v>3</v>
      </c>
      <c r="C2" s="4" t="s">
        <v>23</v>
      </c>
      <c r="D2" s="4" t="s">
        <v>24</v>
      </c>
      <c r="E2" s="3" t="s">
        <v>25</v>
      </c>
      <c r="F2" s="4" t="s">
        <v>26</v>
      </c>
      <c r="G2" s="5">
        <v>14</v>
      </c>
      <c r="H2" s="4" t="s">
        <v>115</v>
      </c>
      <c r="I2" s="6" t="s">
        <v>35</v>
      </c>
      <c r="J2" s="7">
        <v>0</v>
      </c>
      <c r="K2" s="8">
        <v>0</v>
      </c>
      <c r="L2" s="9" t="s">
        <v>398</v>
      </c>
      <c r="M2" s="9" t="s">
        <v>288</v>
      </c>
      <c r="N2" s="9" t="s">
        <v>30</v>
      </c>
      <c r="O2" s="9" t="s">
        <v>289</v>
      </c>
      <c r="P2" s="9" t="s">
        <v>290</v>
      </c>
      <c r="Q2" s="10">
        <v>17617</v>
      </c>
      <c r="R2" s="10">
        <v>1709</v>
      </c>
      <c r="S2" s="11">
        <v>618.07000000000005</v>
      </c>
      <c r="T2" s="3" t="b">
        <v>1</v>
      </c>
      <c r="U2" s="3" t="b">
        <v>0</v>
      </c>
      <c r="V2" s="3" t="b">
        <v>1</v>
      </c>
    </row>
    <row r="3" spans="1:22" ht="45" x14ac:dyDescent="0.25">
      <c r="A3" s="3" t="s">
        <v>22</v>
      </c>
      <c r="B3" s="3">
        <v>3</v>
      </c>
      <c r="C3" s="4" t="s">
        <v>23</v>
      </c>
      <c r="D3" s="4" t="s">
        <v>24</v>
      </c>
      <c r="E3" s="3" t="s">
        <v>33</v>
      </c>
      <c r="F3" s="4" t="s">
        <v>34</v>
      </c>
      <c r="G3" s="5">
        <v>20</v>
      </c>
      <c r="H3" s="4" t="s">
        <v>115</v>
      </c>
      <c r="I3" s="6" t="s">
        <v>35</v>
      </c>
      <c r="J3" s="7">
        <v>0</v>
      </c>
      <c r="K3" s="8">
        <v>0</v>
      </c>
      <c r="L3" s="9" t="s">
        <v>399</v>
      </c>
      <c r="M3" s="9" t="s">
        <v>292</v>
      </c>
      <c r="N3" s="9" t="s">
        <v>30</v>
      </c>
      <c r="O3" s="9" t="s">
        <v>293</v>
      </c>
      <c r="P3" s="9" t="s">
        <v>294</v>
      </c>
      <c r="Q3" s="10">
        <v>17617</v>
      </c>
      <c r="R3" s="10">
        <v>1709</v>
      </c>
      <c r="S3" s="11">
        <v>618.07000000000005</v>
      </c>
      <c r="T3" s="3" t="b">
        <v>1</v>
      </c>
      <c r="U3" s="3" t="b">
        <v>0</v>
      </c>
      <c r="V3" s="3" t="b">
        <v>1</v>
      </c>
    </row>
    <row r="4" spans="1:22" ht="45" x14ac:dyDescent="0.25">
      <c r="A4" s="3" t="s">
        <v>22</v>
      </c>
      <c r="B4" s="3">
        <v>3</v>
      </c>
      <c r="C4" s="4" t="s">
        <v>23</v>
      </c>
      <c r="D4" s="4" t="s">
        <v>24</v>
      </c>
      <c r="E4" s="3" t="s">
        <v>39</v>
      </c>
      <c r="F4" s="4" t="s">
        <v>40</v>
      </c>
      <c r="G4" s="5">
        <v>26</v>
      </c>
      <c r="H4" s="4" t="s">
        <v>115</v>
      </c>
      <c r="I4" s="6" t="s">
        <v>35</v>
      </c>
      <c r="J4" s="7">
        <v>0</v>
      </c>
      <c r="K4" s="8">
        <v>0</v>
      </c>
      <c r="L4" s="9" t="s">
        <v>400</v>
      </c>
      <c r="M4" s="9" t="s">
        <v>296</v>
      </c>
      <c r="N4" s="9" t="s">
        <v>297</v>
      </c>
      <c r="O4" s="9" t="s">
        <v>298</v>
      </c>
      <c r="P4" s="9" t="s">
        <v>299</v>
      </c>
      <c r="Q4" s="10">
        <v>17617</v>
      </c>
      <c r="R4" s="10">
        <v>1709</v>
      </c>
      <c r="S4" s="11">
        <v>618.07000000000005</v>
      </c>
      <c r="T4" s="3" t="b">
        <v>1</v>
      </c>
      <c r="U4" s="3" t="b">
        <v>0</v>
      </c>
      <c r="V4" s="3" t="b">
        <v>1</v>
      </c>
    </row>
    <row r="5" spans="1:22" ht="45" x14ac:dyDescent="0.25">
      <c r="A5" s="3" t="s">
        <v>22</v>
      </c>
      <c r="B5" s="3">
        <v>3</v>
      </c>
      <c r="C5" s="4" t="s">
        <v>23</v>
      </c>
      <c r="D5" s="4" t="s">
        <v>24</v>
      </c>
      <c r="E5" s="3" t="s">
        <v>45</v>
      </c>
      <c r="F5" s="4" t="s">
        <v>46</v>
      </c>
      <c r="G5" s="5">
        <v>20</v>
      </c>
      <c r="H5" s="4" t="s">
        <v>115</v>
      </c>
      <c r="I5" s="6" t="s">
        <v>401</v>
      </c>
      <c r="J5" s="7">
        <v>0</v>
      </c>
      <c r="K5" s="8">
        <v>0</v>
      </c>
      <c r="L5" s="9" t="s">
        <v>402</v>
      </c>
      <c r="M5" s="9" t="s">
        <v>403</v>
      </c>
      <c r="N5" s="9" t="s">
        <v>48</v>
      </c>
      <c r="O5" s="9" t="s">
        <v>404</v>
      </c>
      <c r="P5" s="9" t="s">
        <v>405</v>
      </c>
      <c r="Q5" s="10">
        <v>17617</v>
      </c>
      <c r="R5" s="10">
        <v>1709</v>
      </c>
      <c r="S5" s="11">
        <v>618.07000000000005</v>
      </c>
      <c r="T5" s="3" t="b">
        <v>1</v>
      </c>
      <c r="U5" s="3" t="b">
        <v>0</v>
      </c>
      <c r="V5" s="3" t="b">
        <v>1</v>
      </c>
    </row>
    <row r="6" spans="1:22" ht="45" x14ac:dyDescent="0.25">
      <c r="A6" s="3" t="s">
        <v>22</v>
      </c>
      <c r="B6" s="3">
        <v>3</v>
      </c>
      <c r="C6" s="4" t="s">
        <v>23</v>
      </c>
      <c r="D6" s="4" t="s">
        <v>24</v>
      </c>
      <c r="E6" s="3" t="s">
        <v>51</v>
      </c>
      <c r="F6" s="4" t="s">
        <v>52</v>
      </c>
      <c r="G6" s="5">
        <v>26</v>
      </c>
      <c r="H6" s="4" t="s">
        <v>115</v>
      </c>
      <c r="I6" s="6" t="s">
        <v>401</v>
      </c>
      <c r="J6" s="7">
        <v>0</v>
      </c>
      <c r="K6" s="8">
        <v>0</v>
      </c>
      <c r="L6" s="9" t="s">
        <v>406</v>
      </c>
      <c r="M6" s="9" t="s">
        <v>407</v>
      </c>
      <c r="N6" s="9" t="s">
        <v>48</v>
      </c>
      <c r="O6" s="9" t="s">
        <v>54</v>
      </c>
      <c r="P6" s="9" t="s">
        <v>304</v>
      </c>
      <c r="Q6" s="10">
        <v>17617</v>
      </c>
      <c r="R6" s="10">
        <v>1709</v>
      </c>
      <c r="S6" s="11">
        <v>618.07000000000005</v>
      </c>
      <c r="T6" s="3" t="b">
        <v>1</v>
      </c>
      <c r="U6" s="3" t="b">
        <v>0</v>
      </c>
      <c r="V6" s="3" t="b">
        <v>1</v>
      </c>
    </row>
    <row r="7" spans="1:22" ht="45" x14ac:dyDescent="0.25">
      <c r="A7" s="3" t="s">
        <v>22</v>
      </c>
      <c r="B7" s="3">
        <v>3</v>
      </c>
      <c r="C7" s="4" t="s">
        <v>23</v>
      </c>
      <c r="D7" s="4" t="s">
        <v>24</v>
      </c>
      <c r="E7" s="3" t="s">
        <v>56</v>
      </c>
      <c r="F7" s="4" t="s">
        <v>57</v>
      </c>
      <c r="G7" s="5">
        <v>18</v>
      </c>
      <c r="H7" s="4" t="s">
        <v>115</v>
      </c>
      <c r="I7" s="6" t="s">
        <v>35</v>
      </c>
      <c r="J7" s="7">
        <v>0</v>
      </c>
      <c r="K7" s="8">
        <v>0</v>
      </c>
      <c r="L7" s="9" t="s">
        <v>408</v>
      </c>
      <c r="M7" s="9" t="s">
        <v>409</v>
      </c>
      <c r="N7" s="9" t="s">
        <v>30</v>
      </c>
      <c r="O7" s="9" t="s">
        <v>410</v>
      </c>
      <c r="P7" s="9" t="s">
        <v>411</v>
      </c>
      <c r="Q7" s="10">
        <v>17617</v>
      </c>
      <c r="R7" s="10">
        <v>1709</v>
      </c>
      <c r="S7" s="11">
        <v>618.07000000000005</v>
      </c>
      <c r="T7" s="3" t="b">
        <v>1</v>
      </c>
      <c r="U7" s="3" t="b">
        <v>0</v>
      </c>
      <c r="V7" s="3" t="b">
        <v>1</v>
      </c>
    </row>
    <row r="8" spans="1:22" ht="45" x14ac:dyDescent="0.25">
      <c r="A8" s="3" t="s">
        <v>22</v>
      </c>
      <c r="B8" s="3">
        <v>3</v>
      </c>
      <c r="C8" s="4" t="s">
        <v>23</v>
      </c>
      <c r="D8" s="4" t="s">
        <v>61</v>
      </c>
      <c r="E8" s="3" t="s">
        <v>62</v>
      </c>
      <c r="F8" s="4" t="s">
        <v>63</v>
      </c>
      <c r="G8" s="5">
        <v>10</v>
      </c>
      <c r="H8" s="4" t="s">
        <v>27</v>
      </c>
      <c r="I8" s="6" t="s">
        <v>35</v>
      </c>
      <c r="J8" s="7">
        <v>2</v>
      </c>
      <c r="K8" s="8">
        <v>20</v>
      </c>
      <c r="L8" s="9"/>
      <c r="M8" s="9" t="s">
        <v>64</v>
      </c>
      <c r="N8" s="9" t="s">
        <v>48</v>
      </c>
      <c r="O8" s="9" t="s">
        <v>412</v>
      </c>
      <c r="P8" s="9" t="s">
        <v>66</v>
      </c>
      <c r="Q8" s="10">
        <v>17191</v>
      </c>
      <c r="R8" s="10">
        <v>2014</v>
      </c>
      <c r="S8" s="11">
        <v>702.88</v>
      </c>
      <c r="T8" s="3" t="b">
        <v>1</v>
      </c>
      <c r="U8" s="3" t="b">
        <v>0</v>
      </c>
      <c r="V8" s="3" t="b">
        <v>1</v>
      </c>
    </row>
    <row r="9" spans="1:22" ht="45" x14ac:dyDescent="0.25">
      <c r="A9" s="3" t="s">
        <v>22</v>
      </c>
      <c r="B9" s="3">
        <v>3</v>
      </c>
      <c r="C9" s="4" t="s">
        <v>23</v>
      </c>
      <c r="D9" s="4" t="s">
        <v>61</v>
      </c>
      <c r="E9" s="3" t="s">
        <v>67</v>
      </c>
      <c r="F9" s="4" t="s">
        <v>68</v>
      </c>
      <c r="G9" s="5">
        <v>8</v>
      </c>
      <c r="H9" s="4" t="s">
        <v>27</v>
      </c>
      <c r="I9" s="6" t="s">
        <v>35</v>
      </c>
      <c r="J9" s="7">
        <v>2</v>
      </c>
      <c r="K9" s="8">
        <v>25</v>
      </c>
      <c r="L9" s="9"/>
      <c r="M9" s="9" t="s">
        <v>413</v>
      </c>
      <c r="N9" s="9" t="s">
        <v>48</v>
      </c>
      <c r="O9" s="9" t="s">
        <v>414</v>
      </c>
      <c r="P9" s="9" t="s">
        <v>415</v>
      </c>
      <c r="Q9" s="10">
        <v>17191</v>
      </c>
      <c r="R9" s="10">
        <v>2014</v>
      </c>
      <c r="S9" s="11">
        <v>702.88</v>
      </c>
      <c r="T9" s="3" t="b">
        <v>1</v>
      </c>
      <c r="U9" s="3" t="b">
        <v>0</v>
      </c>
      <c r="V9" s="3" t="b">
        <v>1</v>
      </c>
    </row>
    <row r="10" spans="1:22" ht="45" x14ac:dyDescent="0.25">
      <c r="A10" s="3" t="s">
        <v>22</v>
      </c>
      <c r="B10" s="3">
        <v>3</v>
      </c>
      <c r="C10" s="4" t="s">
        <v>23</v>
      </c>
      <c r="D10" s="4" t="s">
        <v>61</v>
      </c>
      <c r="E10" s="3" t="s">
        <v>72</v>
      </c>
      <c r="F10" s="4" t="s">
        <v>73</v>
      </c>
      <c r="G10" s="5">
        <v>8</v>
      </c>
      <c r="H10" s="4" t="s">
        <v>27</v>
      </c>
      <c r="I10" s="6" t="s">
        <v>28</v>
      </c>
      <c r="J10" s="7">
        <v>0</v>
      </c>
      <c r="K10" s="8">
        <v>0</v>
      </c>
      <c r="L10" s="9"/>
      <c r="M10" s="9" t="s">
        <v>416</v>
      </c>
      <c r="N10" s="9" t="s">
        <v>30</v>
      </c>
      <c r="O10" s="9" t="s">
        <v>417</v>
      </c>
      <c r="P10" s="9" t="s">
        <v>418</v>
      </c>
      <c r="Q10" s="10">
        <v>17191</v>
      </c>
      <c r="R10" s="10">
        <v>2014</v>
      </c>
      <c r="S10" s="11">
        <v>702.88</v>
      </c>
      <c r="T10" s="3" t="b">
        <v>1</v>
      </c>
      <c r="U10" s="3" t="b">
        <v>0</v>
      </c>
      <c r="V10" s="3" t="b">
        <v>1</v>
      </c>
    </row>
    <row r="11" spans="1:22" ht="45" x14ac:dyDescent="0.25">
      <c r="A11" s="3" t="s">
        <v>22</v>
      </c>
      <c r="B11" s="3">
        <v>3</v>
      </c>
      <c r="C11" s="4" t="s">
        <v>23</v>
      </c>
      <c r="D11" s="4" t="s">
        <v>61</v>
      </c>
      <c r="E11" s="3" t="s">
        <v>77</v>
      </c>
      <c r="F11" s="4" t="s">
        <v>78</v>
      </c>
      <c r="G11" s="5">
        <v>10</v>
      </c>
      <c r="H11" s="4" t="s">
        <v>27</v>
      </c>
      <c r="I11" s="6" t="s">
        <v>28</v>
      </c>
      <c r="J11" s="7">
        <v>0</v>
      </c>
      <c r="K11" s="8">
        <v>0</v>
      </c>
      <c r="L11" s="9"/>
      <c r="M11" s="9" t="s">
        <v>79</v>
      </c>
      <c r="N11" s="9" t="s">
        <v>30</v>
      </c>
      <c r="O11" s="9" t="s">
        <v>419</v>
      </c>
      <c r="P11" s="9" t="s">
        <v>420</v>
      </c>
      <c r="Q11" s="10">
        <v>17191</v>
      </c>
      <c r="R11" s="10">
        <v>2014</v>
      </c>
      <c r="S11" s="11">
        <v>702.88</v>
      </c>
      <c r="T11" s="3" t="b">
        <v>1</v>
      </c>
      <c r="U11" s="3" t="b">
        <v>0</v>
      </c>
      <c r="V11" s="3" t="b">
        <v>1</v>
      </c>
    </row>
    <row r="12" spans="1:22" ht="45" x14ac:dyDescent="0.25">
      <c r="A12" s="3" t="s">
        <v>22</v>
      </c>
      <c r="B12" s="3">
        <v>3</v>
      </c>
      <c r="C12" s="4" t="s">
        <v>23</v>
      </c>
      <c r="D12" s="4" t="s">
        <v>61</v>
      </c>
      <c r="E12" s="3" t="s">
        <v>82</v>
      </c>
      <c r="F12" s="4" t="s">
        <v>83</v>
      </c>
      <c r="G12" s="5">
        <v>12</v>
      </c>
      <c r="H12" s="4" t="s">
        <v>27</v>
      </c>
      <c r="I12" s="6" t="s">
        <v>28</v>
      </c>
      <c r="J12" s="7">
        <v>0</v>
      </c>
      <c r="K12" s="8">
        <v>0</v>
      </c>
      <c r="L12" s="9"/>
      <c r="M12" s="9" t="s">
        <v>421</v>
      </c>
      <c r="N12" s="9" t="s">
        <v>30</v>
      </c>
      <c r="O12" s="9" t="s">
        <v>422</v>
      </c>
      <c r="P12" s="9" t="s">
        <v>86</v>
      </c>
      <c r="Q12" s="10">
        <v>17191</v>
      </c>
      <c r="R12" s="10">
        <v>2014</v>
      </c>
      <c r="S12" s="11">
        <v>702.88</v>
      </c>
      <c r="T12" s="3" t="b">
        <v>1</v>
      </c>
      <c r="U12" s="3" t="b">
        <v>0</v>
      </c>
      <c r="V12" s="3" t="b">
        <v>1</v>
      </c>
    </row>
    <row r="13" spans="1:22" ht="45" x14ac:dyDescent="0.25">
      <c r="A13" s="3" t="s">
        <v>22</v>
      </c>
      <c r="B13" s="3">
        <v>3</v>
      </c>
      <c r="C13" s="4" t="s">
        <v>23</v>
      </c>
      <c r="D13" s="4" t="s">
        <v>61</v>
      </c>
      <c r="E13" s="3" t="s">
        <v>87</v>
      </c>
      <c r="F13" s="4" t="s">
        <v>88</v>
      </c>
      <c r="G13" s="5">
        <v>10</v>
      </c>
      <c r="H13" s="4" t="s">
        <v>27</v>
      </c>
      <c r="I13" s="6" t="s">
        <v>28</v>
      </c>
      <c r="J13" s="7">
        <v>0</v>
      </c>
      <c r="K13" s="8">
        <v>0</v>
      </c>
      <c r="L13" s="9"/>
      <c r="M13" s="9" t="s">
        <v>423</v>
      </c>
      <c r="N13" s="9" t="s">
        <v>30</v>
      </c>
      <c r="O13" s="9" t="s">
        <v>424</v>
      </c>
      <c r="P13" s="9" t="s">
        <v>425</v>
      </c>
      <c r="Q13" s="10">
        <v>17191</v>
      </c>
      <c r="R13" s="10">
        <v>2014</v>
      </c>
      <c r="S13" s="11">
        <v>702.88</v>
      </c>
      <c r="T13" s="3" t="b">
        <v>1</v>
      </c>
      <c r="U13" s="3" t="b">
        <v>0</v>
      </c>
      <c r="V13" s="3" t="b">
        <v>1</v>
      </c>
    </row>
    <row r="14" spans="1:22" ht="45" x14ac:dyDescent="0.25">
      <c r="A14" s="3" t="s">
        <v>22</v>
      </c>
      <c r="B14" s="3">
        <v>3</v>
      </c>
      <c r="C14" s="4" t="s">
        <v>23</v>
      </c>
      <c r="D14" s="4" t="s">
        <v>61</v>
      </c>
      <c r="E14" s="3" t="s">
        <v>92</v>
      </c>
      <c r="F14" s="4" t="s">
        <v>426</v>
      </c>
      <c r="G14" s="5">
        <v>8</v>
      </c>
      <c r="H14" s="4" t="s">
        <v>27</v>
      </c>
      <c r="I14" s="6" t="s">
        <v>28</v>
      </c>
      <c r="J14" s="7">
        <v>0</v>
      </c>
      <c r="K14" s="8">
        <v>0</v>
      </c>
      <c r="L14" s="9"/>
      <c r="M14" s="9" t="s">
        <v>427</v>
      </c>
      <c r="N14" s="9" t="s">
        <v>30</v>
      </c>
      <c r="O14" s="9" t="s">
        <v>428</v>
      </c>
      <c r="P14" s="9" t="s">
        <v>429</v>
      </c>
      <c r="Q14" s="10">
        <v>17191</v>
      </c>
      <c r="R14" s="10">
        <v>2014</v>
      </c>
      <c r="S14" s="11">
        <v>702.88</v>
      </c>
      <c r="T14" s="3" t="b">
        <v>1</v>
      </c>
      <c r="U14" s="3" t="b">
        <v>0</v>
      </c>
      <c r="V14" s="3" t="b">
        <v>1</v>
      </c>
    </row>
    <row r="15" spans="1:22" ht="45" x14ac:dyDescent="0.25">
      <c r="A15" s="3" t="s">
        <v>22</v>
      </c>
      <c r="B15" s="3">
        <v>3</v>
      </c>
      <c r="C15" s="4" t="s">
        <v>23</v>
      </c>
      <c r="D15" s="4" t="s">
        <v>61</v>
      </c>
      <c r="E15" s="3" t="s">
        <v>97</v>
      </c>
      <c r="F15" s="4" t="s">
        <v>93</v>
      </c>
      <c r="G15" s="5">
        <v>12</v>
      </c>
      <c r="H15" s="4" t="s">
        <v>27</v>
      </c>
      <c r="I15" s="6" t="s">
        <v>28</v>
      </c>
      <c r="J15" s="7">
        <v>0</v>
      </c>
      <c r="K15" s="8">
        <v>0</v>
      </c>
      <c r="L15" s="9"/>
      <c r="M15" s="9" t="s">
        <v>430</v>
      </c>
      <c r="N15" s="9" t="s">
        <v>30</v>
      </c>
      <c r="O15" s="9" t="s">
        <v>431</v>
      </c>
      <c r="P15" s="9" t="s">
        <v>432</v>
      </c>
      <c r="Q15" s="10">
        <v>17191</v>
      </c>
      <c r="R15" s="10">
        <v>2014</v>
      </c>
      <c r="S15" s="11">
        <v>702.88</v>
      </c>
      <c r="T15" s="3" t="b">
        <v>1</v>
      </c>
      <c r="U15" s="3" t="b">
        <v>0</v>
      </c>
      <c r="V15" s="3" t="b">
        <v>1</v>
      </c>
    </row>
    <row r="16" spans="1:22" ht="45" x14ac:dyDescent="0.25">
      <c r="A16" s="3" t="s">
        <v>22</v>
      </c>
      <c r="B16" s="3">
        <v>3</v>
      </c>
      <c r="C16" s="4" t="s">
        <v>23</v>
      </c>
      <c r="D16" s="4" t="s">
        <v>61</v>
      </c>
      <c r="E16" s="3" t="s">
        <v>102</v>
      </c>
      <c r="F16" s="4" t="s">
        <v>433</v>
      </c>
      <c r="G16" s="5">
        <v>10</v>
      </c>
      <c r="H16" s="4" t="s">
        <v>27</v>
      </c>
      <c r="I16" s="6" t="s">
        <v>28</v>
      </c>
      <c r="J16" s="7">
        <v>0</v>
      </c>
      <c r="K16" s="8">
        <v>0</v>
      </c>
      <c r="L16" s="9"/>
      <c r="M16" s="9" t="s">
        <v>434</v>
      </c>
      <c r="N16" s="9" t="s">
        <v>30</v>
      </c>
      <c r="O16" s="9" t="s">
        <v>435</v>
      </c>
      <c r="P16" s="9" t="s">
        <v>436</v>
      </c>
      <c r="Q16" s="10">
        <v>17191</v>
      </c>
      <c r="R16" s="10">
        <v>2014</v>
      </c>
      <c r="S16" s="11">
        <v>702.88</v>
      </c>
      <c r="T16" s="3" t="b">
        <v>1</v>
      </c>
      <c r="U16" s="3" t="b">
        <v>0</v>
      </c>
      <c r="V16" s="3" t="b">
        <v>1</v>
      </c>
    </row>
    <row r="17" spans="1:22" ht="45" x14ac:dyDescent="0.25">
      <c r="A17" s="3" t="s">
        <v>22</v>
      </c>
      <c r="B17" s="3">
        <v>3</v>
      </c>
      <c r="C17" s="4" t="s">
        <v>23</v>
      </c>
      <c r="D17" s="4" t="s">
        <v>61</v>
      </c>
      <c r="E17" s="3" t="s">
        <v>107</v>
      </c>
      <c r="F17" s="4" t="s">
        <v>108</v>
      </c>
      <c r="G17" s="5">
        <v>12</v>
      </c>
      <c r="H17" s="4" t="s">
        <v>27</v>
      </c>
      <c r="I17" s="6" t="s">
        <v>28</v>
      </c>
      <c r="J17" s="7">
        <v>0</v>
      </c>
      <c r="K17" s="8">
        <v>0</v>
      </c>
      <c r="L17" s="9"/>
      <c r="M17" s="9" t="s">
        <v>437</v>
      </c>
      <c r="N17" s="9" t="s">
        <v>30</v>
      </c>
      <c r="O17" s="9" t="s">
        <v>438</v>
      </c>
      <c r="P17" s="9" t="s">
        <v>439</v>
      </c>
      <c r="Q17" s="10">
        <v>17191</v>
      </c>
      <c r="R17" s="10">
        <v>2014</v>
      </c>
      <c r="S17" s="11">
        <v>702.88</v>
      </c>
      <c r="T17" s="3" t="b">
        <v>1</v>
      </c>
      <c r="U17" s="3" t="b">
        <v>0</v>
      </c>
      <c r="V17" s="3" t="b">
        <v>1</v>
      </c>
    </row>
    <row r="18" spans="1:22" ht="45" x14ac:dyDescent="0.25">
      <c r="A18" s="3" t="s">
        <v>22</v>
      </c>
      <c r="B18" s="3">
        <v>3</v>
      </c>
      <c r="C18" s="4" t="s">
        <v>23</v>
      </c>
      <c r="D18" s="4" t="s">
        <v>112</v>
      </c>
      <c r="E18" s="3" t="s">
        <v>113</v>
      </c>
      <c r="F18" s="4" t="s">
        <v>114</v>
      </c>
      <c r="G18" s="5">
        <v>14</v>
      </c>
      <c r="H18" s="4" t="s">
        <v>115</v>
      </c>
      <c r="I18" s="6" t="s">
        <v>28</v>
      </c>
      <c r="J18" s="7">
        <v>0</v>
      </c>
      <c r="K18" s="8">
        <v>0</v>
      </c>
      <c r="L18" s="9" t="s">
        <v>440</v>
      </c>
      <c r="M18" s="9" t="s">
        <v>441</v>
      </c>
      <c r="N18" s="9" t="s">
        <v>30</v>
      </c>
      <c r="O18" s="9" t="s">
        <v>442</v>
      </c>
      <c r="P18" s="9" t="s">
        <v>443</v>
      </c>
      <c r="Q18" s="10">
        <v>17916</v>
      </c>
      <c r="R18" s="10">
        <v>1444</v>
      </c>
      <c r="S18" s="11">
        <v>551.74</v>
      </c>
      <c r="T18" s="3" t="b">
        <v>1</v>
      </c>
      <c r="U18" s="3" t="b">
        <v>0</v>
      </c>
      <c r="V18" s="3" t="b">
        <v>1</v>
      </c>
    </row>
    <row r="19" spans="1:22" ht="45" x14ac:dyDescent="0.25">
      <c r="A19" s="3" t="s">
        <v>22</v>
      </c>
      <c r="B19" s="3">
        <v>3</v>
      </c>
      <c r="C19" s="4" t="s">
        <v>23</v>
      </c>
      <c r="D19" s="4" t="s">
        <v>112</v>
      </c>
      <c r="E19" s="3" t="s">
        <v>120</v>
      </c>
      <c r="F19" s="4" t="s">
        <v>121</v>
      </c>
      <c r="G19" s="5">
        <v>10</v>
      </c>
      <c r="H19" s="4" t="s">
        <v>115</v>
      </c>
      <c r="I19" s="6" t="s">
        <v>28</v>
      </c>
      <c r="J19" s="7">
        <v>0</v>
      </c>
      <c r="K19" s="8">
        <v>0</v>
      </c>
      <c r="L19" s="9" t="s">
        <v>444</v>
      </c>
      <c r="M19" s="9" t="s">
        <v>445</v>
      </c>
      <c r="N19" s="9" t="s">
        <v>30</v>
      </c>
      <c r="O19" s="9" t="s">
        <v>446</v>
      </c>
      <c r="P19" s="9" t="s">
        <v>447</v>
      </c>
      <c r="Q19" s="10">
        <v>17916</v>
      </c>
      <c r="R19" s="10">
        <v>1444</v>
      </c>
      <c r="S19" s="11">
        <v>551.74</v>
      </c>
      <c r="T19" s="3" t="b">
        <v>1</v>
      </c>
      <c r="U19" s="3" t="b">
        <v>0</v>
      </c>
      <c r="V19" s="3" t="b">
        <v>1</v>
      </c>
    </row>
    <row r="20" spans="1:22" ht="45" x14ac:dyDescent="0.25">
      <c r="A20" s="3" t="s">
        <v>22</v>
      </c>
      <c r="B20" s="3">
        <v>3</v>
      </c>
      <c r="C20" s="4" t="s">
        <v>23</v>
      </c>
      <c r="D20" s="4" t="s">
        <v>112</v>
      </c>
      <c r="E20" s="3" t="s">
        <v>126</v>
      </c>
      <c r="F20" s="4" t="s">
        <v>127</v>
      </c>
      <c r="G20" s="5">
        <v>24</v>
      </c>
      <c r="H20" s="4" t="s">
        <v>115</v>
      </c>
      <c r="I20" s="6" t="s">
        <v>28</v>
      </c>
      <c r="J20" s="7">
        <v>0</v>
      </c>
      <c r="K20" s="8">
        <v>0</v>
      </c>
      <c r="L20" s="9" t="s">
        <v>448</v>
      </c>
      <c r="M20" s="9" t="s">
        <v>449</v>
      </c>
      <c r="N20" s="9" t="s">
        <v>30</v>
      </c>
      <c r="O20" s="9" t="s">
        <v>450</v>
      </c>
      <c r="P20" s="9" t="s">
        <v>451</v>
      </c>
      <c r="Q20" s="10">
        <v>17916</v>
      </c>
      <c r="R20" s="10">
        <v>1444</v>
      </c>
      <c r="S20" s="11">
        <v>551.74</v>
      </c>
      <c r="T20" s="3" t="b">
        <v>1</v>
      </c>
      <c r="U20" s="3" t="b">
        <v>0</v>
      </c>
      <c r="V20" s="3" t="b">
        <v>1</v>
      </c>
    </row>
    <row r="21" spans="1:22" ht="45" x14ac:dyDescent="0.25">
      <c r="A21" s="3" t="s">
        <v>22</v>
      </c>
      <c r="B21" s="3">
        <v>3</v>
      </c>
      <c r="C21" s="4" t="s">
        <v>23</v>
      </c>
      <c r="D21" s="4" t="s">
        <v>112</v>
      </c>
      <c r="E21" s="3" t="s">
        <v>132</v>
      </c>
      <c r="F21" s="4" t="s">
        <v>133</v>
      </c>
      <c r="G21" s="5">
        <v>14</v>
      </c>
      <c r="H21" s="4" t="s">
        <v>115</v>
      </c>
      <c r="I21" s="6" t="s">
        <v>28</v>
      </c>
      <c r="J21" s="7">
        <v>0</v>
      </c>
      <c r="K21" s="8">
        <v>0</v>
      </c>
      <c r="L21" s="9" t="s">
        <v>452</v>
      </c>
      <c r="M21" s="9" t="s">
        <v>453</v>
      </c>
      <c r="N21" s="9" t="s">
        <v>30</v>
      </c>
      <c r="O21" s="9" t="s">
        <v>454</v>
      </c>
      <c r="P21" s="9" t="s">
        <v>455</v>
      </c>
      <c r="Q21" s="10">
        <v>17916</v>
      </c>
      <c r="R21" s="10">
        <v>1444</v>
      </c>
      <c r="S21" s="11">
        <v>551.74</v>
      </c>
      <c r="T21" s="3" t="b">
        <v>1</v>
      </c>
      <c r="U21" s="3" t="b">
        <v>0</v>
      </c>
      <c r="V21" s="3" t="b">
        <v>1</v>
      </c>
    </row>
    <row r="22" spans="1:22" ht="45" x14ac:dyDescent="0.25">
      <c r="A22" s="3" t="s">
        <v>22</v>
      </c>
      <c r="B22" s="3">
        <v>3</v>
      </c>
      <c r="C22" s="4" t="s">
        <v>23</v>
      </c>
      <c r="D22" s="4" t="s">
        <v>112</v>
      </c>
      <c r="E22" s="3" t="s">
        <v>138</v>
      </c>
      <c r="F22" s="4" t="s">
        <v>139</v>
      </c>
      <c r="G22" s="5">
        <v>14</v>
      </c>
      <c r="H22" s="4" t="s">
        <v>115</v>
      </c>
      <c r="I22" s="6" t="s">
        <v>28</v>
      </c>
      <c r="J22" s="7">
        <v>0</v>
      </c>
      <c r="K22" s="8">
        <v>0</v>
      </c>
      <c r="L22" s="9" t="s">
        <v>456</v>
      </c>
      <c r="M22" s="9" t="s">
        <v>457</v>
      </c>
      <c r="N22" s="9" t="s">
        <v>30</v>
      </c>
      <c r="O22" s="9" t="s">
        <v>458</v>
      </c>
      <c r="P22" s="9" t="s">
        <v>459</v>
      </c>
      <c r="Q22" s="10">
        <v>17916</v>
      </c>
      <c r="R22" s="10">
        <v>1444</v>
      </c>
      <c r="S22" s="11">
        <v>551.74</v>
      </c>
      <c r="T22" s="3" t="b">
        <v>1</v>
      </c>
      <c r="U22" s="3" t="b">
        <v>0</v>
      </c>
      <c r="V22" s="3" t="b">
        <v>1</v>
      </c>
    </row>
    <row r="23" spans="1:22" ht="45" x14ac:dyDescent="0.25">
      <c r="A23" s="3" t="s">
        <v>22</v>
      </c>
      <c r="B23" s="3">
        <v>3</v>
      </c>
      <c r="C23" s="4" t="s">
        <v>23</v>
      </c>
      <c r="D23" s="4" t="s">
        <v>112</v>
      </c>
      <c r="E23" s="3" t="s">
        <v>144</v>
      </c>
      <c r="F23" s="4" t="s">
        <v>145</v>
      </c>
      <c r="G23" s="5">
        <v>10</v>
      </c>
      <c r="H23" s="4" t="s">
        <v>115</v>
      </c>
      <c r="I23" s="6" t="s">
        <v>28</v>
      </c>
      <c r="J23" s="7">
        <v>0</v>
      </c>
      <c r="K23" s="8">
        <v>0</v>
      </c>
      <c r="L23" s="9" t="s">
        <v>460</v>
      </c>
      <c r="M23" s="9" t="s">
        <v>461</v>
      </c>
      <c r="N23" s="9" t="s">
        <v>30</v>
      </c>
      <c r="O23" s="9" t="s">
        <v>462</v>
      </c>
      <c r="P23" s="9" t="s">
        <v>463</v>
      </c>
      <c r="Q23" s="10">
        <v>17916</v>
      </c>
      <c r="R23" s="10">
        <v>1444</v>
      </c>
      <c r="S23" s="11">
        <v>551.74</v>
      </c>
      <c r="T23" s="3" t="b">
        <v>1</v>
      </c>
      <c r="U23" s="3" t="b">
        <v>0</v>
      </c>
      <c r="V23" s="3" t="b">
        <v>1</v>
      </c>
    </row>
    <row r="24" spans="1:22" ht="45" x14ac:dyDescent="0.25">
      <c r="A24" s="3" t="s">
        <v>22</v>
      </c>
      <c r="B24" s="3">
        <v>3</v>
      </c>
      <c r="C24" s="4" t="s">
        <v>23</v>
      </c>
      <c r="D24" s="4" t="s">
        <v>150</v>
      </c>
      <c r="E24" s="3" t="s">
        <v>151</v>
      </c>
      <c r="F24" s="4" t="s">
        <v>152</v>
      </c>
      <c r="G24" s="5">
        <v>26</v>
      </c>
      <c r="H24" s="4" t="s">
        <v>27</v>
      </c>
      <c r="I24" s="6" t="s">
        <v>35</v>
      </c>
      <c r="J24" s="7">
        <v>5</v>
      </c>
      <c r="K24" s="8">
        <v>19.2</v>
      </c>
      <c r="L24" s="9" t="s">
        <v>153</v>
      </c>
      <c r="M24" s="9" t="s">
        <v>345</v>
      </c>
      <c r="N24" s="9" t="s">
        <v>346</v>
      </c>
      <c r="O24" s="9" t="s">
        <v>464</v>
      </c>
      <c r="P24" s="9" t="s">
        <v>348</v>
      </c>
      <c r="Q24" s="10">
        <v>17220</v>
      </c>
      <c r="R24" s="10">
        <v>2918</v>
      </c>
      <c r="S24" s="11">
        <v>1022.57</v>
      </c>
      <c r="T24" s="3" t="b">
        <v>1</v>
      </c>
      <c r="U24" s="3" t="b">
        <v>0</v>
      </c>
      <c r="V24" s="3" t="b">
        <v>1</v>
      </c>
    </row>
    <row r="25" spans="1:22" ht="45" x14ac:dyDescent="0.25">
      <c r="A25" s="3" t="s">
        <v>22</v>
      </c>
      <c r="B25" s="3">
        <v>3</v>
      </c>
      <c r="C25" s="4" t="s">
        <v>23</v>
      </c>
      <c r="D25" s="4" t="s">
        <v>150</v>
      </c>
      <c r="E25" s="3" t="s">
        <v>157</v>
      </c>
      <c r="F25" s="4" t="s">
        <v>158</v>
      </c>
      <c r="G25" s="5">
        <v>20</v>
      </c>
      <c r="H25" s="4" t="s">
        <v>27</v>
      </c>
      <c r="I25" s="6" t="s">
        <v>35</v>
      </c>
      <c r="J25" s="7">
        <v>7</v>
      </c>
      <c r="K25" s="8">
        <v>35</v>
      </c>
      <c r="L25" s="9" t="s">
        <v>349</v>
      </c>
      <c r="M25" s="9" t="s">
        <v>350</v>
      </c>
      <c r="N25" s="9" t="s">
        <v>346</v>
      </c>
      <c r="O25" s="9" t="s">
        <v>465</v>
      </c>
      <c r="P25" s="9" t="s">
        <v>466</v>
      </c>
      <c r="Q25" s="10">
        <v>17220</v>
      </c>
      <c r="R25" s="10">
        <v>2918</v>
      </c>
      <c r="S25" s="11">
        <v>1022.57</v>
      </c>
      <c r="T25" s="3" t="b">
        <v>1</v>
      </c>
      <c r="U25" s="3" t="b">
        <v>0</v>
      </c>
      <c r="V25" s="3" t="b">
        <v>1</v>
      </c>
    </row>
    <row r="26" spans="1:22" ht="45" x14ac:dyDescent="0.25">
      <c r="A26" s="3" t="s">
        <v>22</v>
      </c>
      <c r="B26" s="3">
        <v>3</v>
      </c>
      <c r="C26" s="4" t="s">
        <v>23</v>
      </c>
      <c r="D26" s="4" t="s">
        <v>150</v>
      </c>
      <c r="E26" s="3" t="s">
        <v>163</v>
      </c>
      <c r="F26" s="4" t="s">
        <v>164</v>
      </c>
      <c r="G26" s="5">
        <v>14</v>
      </c>
      <c r="H26" s="4" t="s">
        <v>27</v>
      </c>
      <c r="I26" s="6" t="s">
        <v>35</v>
      </c>
      <c r="J26" s="7">
        <v>5</v>
      </c>
      <c r="K26" s="8">
        <v>35.700000000000003</v>
      </c>
      <c r="L26" s="9" t="s">
        <v>353</v>
      </c>
      <c r="M26" s="9" t="s">
        <v>354</v>
      </c>
      <c r="N26" s="9" t="s">
        <v>346</v>
      </c>
      <c r="O26" s="9" t="s">
        <v>467</v>
      </c>
      <c r="P26" s="9" t="s">
        <v>468</v>
      </c>
      <c r="Q26" s="10">
        <v>17220</v>
      </c>
      <c r="R26" s="10">
        <v>2918</v>
      </c>
      <c r="S26" s="11">
        <v>1022.57</v>
      </c>
      <c r="T26" s="3" t="b">
        <v>1</v>
      </c>
      <c r="U26" s="3" t="b">
        <v>0</v>
      </c>
      <c r="V26" s="3" t="b">
        <v>1</v>
      </c>
    </row>
    <row r="27" spans="1:22" ht="45" x14ac:dyDescent="0.25">
      <c r="A27" s="3" t="s">
        <v>22</v>
      </c>
      <c r="B27" s="3">
        <v>3</v>
      </c>
      <c r="C27" s="4" t="s">
        <v>23</v>
      </c>
      <c r="D27" s="4" t="s">
        <v>150</v>
      </c>
      <c r="E27" s="3" t="s">
        <v>169</v>
      </c>
      <c r="F27" s="4" t="s">
        <v>170</v>
      </c>
      <c r="G27" s="5">
        <v>12</v>
      </c>
      <c r="H27" s="4" t="s">
        <v>27</v>
      </c>
      <c r="I27" s="6" t="s">
        <v>35</v>
      </c>
      <c r="J27" s="7">
        <v>3</v>
      </c>
      <c r="K27" s="8">
        <v>25</v>
      </c>
      <c r="L27" s="9" t="s">
        <v>357</v>
      </c>
      <c r="M27" s="9" t="s">
        <v>358</v>
      </c>
      <c r="N27" s="9" t="s">
        <v>346</v>
      </c>
      <c r="O27" s="9" t="s">
        <v>469</v>
      </c>
      <c r="P27" s="9" t="s">
        <v>470</v>
      </c>
      <c r="Q27" s="10">
        <v>17220</v>
      </c>
      <c r="R27" s="10">
        <v>2918</v>
      </c>
      <c r="S27" s="11">
        <v>1022.57</v>
      </c>
      <c r="T27" s="3" t="b">
        <v>1</v>
      </c>
      <c r="U27" s="3" t="b">
        <v>0</v>
      </c>
      <c r="V27" s="3" t="b">
        <v>1</v>
      </c>
    </row>
    <row r="28" spans="1:22" ht="45" x14ac:dyDescent="0.25">
      <c r="A28" s="3" t="s">
        <v>22</v>
      </c>
      <c r="B28" s="3">
        <v>3</v>
      </c>
      <c r="C28" s="4" t="s">
        <v>23</v>
      </c>
      <c r="D28" s="4" t="s">
        <v>150</v>
      </c>
      <c r="E28" s="3" t="s">
        <v>175</v>
      </c>
      <c r="F28" s="4" t="s">
        <v>176</v>
      </c>
      <c r="G28" s="5">
        <v>12</v>
      </c>
      <c r="H28" s="4" t="s">
        <v>27</v>
      </c>
      <c r="I28" s="6" t="s">
        <v>35</v>
      </c>
      <c r="J28" s="7">
        <v>3</v>
      </c>
      <c r="K28" s="8">
        <v>25</v>
      </c>
      <c r="L28" s="9" t="s">
        <v>361</v>
      </c>
      <c r="M28" s="9" t="s">
        <v>362</v>
      </c>
      <c r="N28" s="9" t="s">
        <v>346</v>
      </c>
      <c r="O28" s="9" t="s">
        <v>471</v>
      </c>
      <c r="P28" s="9" t="s">
        <v>472</v>
      </c>
      <c r="Q28" s="10">
        <v>17220</v>
      </c>
      <c r="R28" s="10">
        <v>2918</v>
      </c>
      <c r="S28" s="11">
        <v>1022.57</v>
      </c>
      <c r="T28" s="3" t="b">
        <v>1</v>
      </c>
      <c r="U28" s="3" t="b">
        <v>0</v>
      </c>
      <c r="V28" s="3" t="b">
        <v>1</v>
      </c>
    </row>
    <row r="29" spans="1:22" ht="45" x14ac:dyDescent="0.25">
      <c r="A29" s="3" t="s">
        <v>22</v>
      </c>
      <c r="B29" s="3">
        <v>3</v>
      </c>
      <c r="C29" s="4" t="s">
        <v>23</v>
      </c>
      <c r="D29" s="4" t="s">
        <v>150</v>
      </c>
      <c r="E29" s="3" t="s">
        <v>181</v>
      </c>
      <c r="F29" s="4" t="s">
        <v>182</v>
      </c>
      <c r="G29" s="5">
        <v>8</v>
      </c>
      <c r="H29" s="4" t="s">
        <v>27</v>
      </c>
      <c r="I29" s="6" t="s">
        <v>35</v>
      </c>
      <c r="J29" s="7">
        <v>2</v>
      </c>
      <c r="K29" s="8">
        <v>25</v>
      </c>
      <c r="L29" s="9" t="s">
        <v>365</v>
      </c>
      <c r="M29" s="9" t="s">
        <v>473</v>
      </c>
      <c r="N29" s="9" t="s">
        <v>346</v>
      </c>
      <c r="O29" s="9" t="s">
        <v>474</v>
      </c>
      <c r="P29" s="9" t="s">
        <v>475</v>
      </c>
      <c r="Q29" s="10">
        <v>17220</v>
      </c>
      <c r="R29" s="10">
        <v>2918</v>
      </c>
      <c r="S29" s="11">
        <v>1022.57</v>
      </c>
      <c r="T29" s="3" t="b">
        <v>1</v>
      </c>
      <c r="U29" s="3" t="b">
        <v>0</v>
      </c>
      <c r="V29" s="3" t="b">
        <v>1</v>
      </c>
    </row>
    <row r="30" spans="1:22" ht="45" x14ac:dyDescent="0.25">
      <c r="A30" s="3" t="s">
        <v>22</v>
      </c>
      <c r="B30" s="3">
        <v>3</v>
      </c>
      <c r="C30" s="4" t="s">
        <v>23</v>
      </c>
      <c r="D30" s="4" t="s">
        <v>150</v>
      </c>
      <c r="E30" s="3" t="s">
        <v>187</v>
      </c>
      <c r="F30" s="4" t="s">
        <v>188</v>
      </c>
      <c r="G30" s="5">
        <v>14</v>
      </c>
      <c r="H30" s="4" t="s">
        <v>27</v>
      </c>
      <c r="I30" s="6" t="s">
        <v>35</v>
      </c>
      <c r="J30" s="7">
        <v>7</v>
      </c>
      <c r="K30" s="8">
        <v>50</v>
      </c>
      <c r="L30" s="9" t="s">
        <v>369</v>
      </c>
      <c r="M30" s="9" t="s">
        <v>476</v>
      </c>
      <c r="N30" s="9" t="s">
        <v>346</v>
      </c>
      <c r="O30" s="9" t="s">
        <v>477</v>
      </c>
      <c r="P30" s="9" t="s">
        <v>478</v>
      </c>
      <c r="Q30" s="10">
        <v>17220</v>
      </c>
      <c r="R30" s="10">
        <v>2918</v>
      </c>
      <c r="S30" s="11">
        <v>1022.57</v>
      </c>
      <c r="T30" s="3" t="b">
        <v>1</v>
      </c>
      <c r="U30" s="3" t="b">
        <v>0</v>
      </c>
      <c r="V30" s="3" t="b">
        <v>1</v>
      </c>
    </row>
    <row r="31" spans="1:22" ht="45" x14ac:dyDescent="0.25">
      <c r="A31" s="3" t="s">
        <v>22</v>
      </c>
      <c r="B31" s="3">
        <v>3</v>
      </c>
      <c r="C31" s="4" t="s">
        <v>23</v>
      </c>
      <c r="D31" s="4" t="s">
        <v>150</v>
      </c>
      <c r="E31" s="3" t="s">
        <v>193</v>
      </c>
      <c r="F31" s="4" t="s">
        <v>194</v>
      </c>
      <c r="G31" s="5">
        <v>16</v>
      </c>
      <c r="H31" s="4" t="s">
        <v>27</v>
      </c>
      <c r="I31" s="6" t="s">
        <v>35</v>
      </c>
      <c r="J31" s="7">
        <v>5</v>
      </c>
      <c r="K31" s="8">
        <v>31.2</v>
      </c>
      <c r="L31" s="9" t="s">
        <v>479</v>
      </c>
      <c r="M31" s="9" t="s">
        <v>374</v>
      </c>
      <c r="N31" s="9" t="s">
        <v>346</v>
      </c>
      <c r="O31" s="9" t="s">
        <v>480</v>
      </c>
      <c r="P31" s="9" t="s">
        <v>481</v>
      </c>
      <c r="Q31" s="10">
        <v>17220</v>
      </c>
      <c r="R31" s="10">
        <v>2918</v>
      </c>
      <c r="S31" s="11">
        <v>1022.57</v>
      </c>
      <c r="T31" s="3" t="b">
        <v>1</v>
      </c>
      <c r="U31" s="3" t="b">
        <v>0</v>
      </c>
      <c r="V31" s="3" t="b">
        <v>1</v>
      </c>
    </row>
    <row r="32" spans="1:22" ht="45" x14ac:dyDescent="0.25">
      <c r="A32" s="3" t="s">
        <v>22</v>
      </c>
      <c r="B32" s="3">
        <v>3</v>
      </c>
      <c r="C32" s="4" t="s">
        <v>23</v>
      </c>
      <c r="D32" s="4" t="s">
        <v>150</v>
      </c>
      <c r="E32" s="3" t="s">
        <v>199</v>
      </c>
      <c r="F32" s="4" t="s">
        <v>200</v>
      </c>
      <c r="G32" s="5">
        <v>14</v>
      </c>
      <c r="H32" s="4" t="s">
        <v>27</v>
      </c>
      <c r="I32" s="6" t="s">
        <v>35</v>
      </c>
      <c r="J32" s="7">
        <v>9</v>
      </c>
      <c r="K32" s="8">
        <v>64.3</v>
      </c>
      <c r="L32" s="9" t="s">
        <v>482</v>
      </c>
      <c r="M32" s="9" t="s">
        <v>483</v>
      </c>
      <c r="N32" s="9" t="s">
        <v>346</v>
      </c>
      <c r="O32" s="9" t="s">
        <v>484</v>
      </c>
      <c r="P32" s="9" t="s">
        <v>485</v>
      </c>
      <c r="Q32" s="10">
        <v>17220</v>
      </c>
      <c r="R32" s="10">
        <v>2918</v>
      </c>
      <c r="S32" s="11">
        <v>1022.57</v>
      </c>
      <c r="T32" s="3" t="b">
        <v>1</v>
      </c>
      <c r="U32" s="3" t="b">
        <v>0</v>
      </c>
      <c r="V32" s="3" t="b">
        <v>1</v>
      </c>
    </row>
    <row r="33" spans="1:22" ht="45" x14ac:dyDescent="0.25">
      <c r="A33" s="3" t="s">
        <v>22</v>
      </c>
      <c r="B33" s="3">
        <v>3</v>
      </c>
      <c r="C33" s="4" t="s">
        <v>23</v>
      </c>
      <c r="D33" s="4" t="s">
        <v>150</v>
      </c>
      <c r="E33" s="3" t="s">
        <v>205</v>
      </c>
      <c r="F33" s="4" t="s">
        <v>206</v>
      </c>
      <c r="G33" s="5">
        <v>18</v>
      </c>
      <c r="H33" s="4" t="s">
        <v>27</v>
      </c>
      <c r="I33" s="6" t="s">
        <v>35</v>
      </c>
      <c r="J33" s="7">
        <v>6</v>
      </c>
      <c r="K33" s="8">
        <v>33.299999999999997</v>
      </c>
      <c r="L33" s="9" t="s">
        <v>486</v>
      </c>
      <c r="M33" s="9" t="s">
        <v>382</v>
      </c>
      <c r="N33" s="9" t="s">
        <v>346</v>
      </c>
      <c r="O33" s="9" t="s">
        <v>487</v>
      </c>
      <c r="P33" s="9" t="s">
        <v>488</v>
      </c>
      <c r="Q33" s="10">
        <v>17220</v>
      </c>
      <c r="R33" s="10">
        <v>2918</v>
      </c>
      <c r="S33" s="11">
        <v>1022.57</v>
      </c>
      <c r="T33" s="3" t="b">
        <v>1</v>
      </c>
      <c r="U33" s="3" t="b">
        <v>0</v>
      </c>
      <c r="V33" s="3" t="b">
        <v>1</v>
      </c>
    </row>
    <row r="34" spans="1:22" ht="45" x14ac:dyDescent="0.25">
      <c r="A34" s="3" t="s">
        <v>22</v>
      </c>
      <c r="B34" s="3">
        <v>3</v>
      </c>
      <c r="C34" s="4" t="s">
        <v>23</v>
      </c>
      <c r="D34" s="4" t="s">
        <v>150</v>
      </c>
      <c r="E34" s="3" t="s">
        <v>211</v>
      </c>
      <c r="F34" s="4" t="s">
        <v>212</v>
      </c>
      <c r="G34" s="5">
        <v>18</v>
      </c>
      <c r="H34" s="4" t="s">
        <v>27</v>
      </c>
      <c r="I34" s="6" t="s">
        <v>35</v>
      </c>
      <c r="J34" s="7">
        <v>2</v>
      </c>
      <c r="K34" s="8">
        <v>11.1</v>
      </c>
      <c r="L34" s="9" t="s">
        <v>489</v>
      </c>
      <c r="M34" s="9" t="s">
        <v>490</v>
      </c>
      <c r="N34" s="9" t="s">
        <v>346</v>
      </c>
      <c r="O34" s="9" t="s">
        <v>491</v>
      </c>
      <c r="P34" s="9" t="s">
        <v>492</v>
      </c>
      <c r="Q34" s="10">
        <v>17220</v>
      </c>
      <c r="R34" s="10">
        <v>2918</v>
      </c>
      <c r="S34" s="11">
        <v>1022.57</v>
      </c>
      <c r="T34" s="3" t="b">
        <v>1</v>
      </c>
      <c r="U34" s="3" t="b">
        <v>0</v>
      </c>
      <c r="V34" s="3" t="b">
        <v>1</v>
      </c>
    </row>
    <row r="35" spans="1:22" ht="45" x14ac:dyDescent="0.25">
      <c r="A35" s="3" t="s">
        <v>22</v>
      </c>
      <c r="B35" s="3">
        <v>3</v>
      </c>
      <c r="C35" s="4" t="s">
        <v>23</v>
      </c>
      <c r="D35" s="4" t="s">
        <v>150</v>
      </c>
      <c r="E35" s="3" t="s">
        <v>215</v>
      </c>
      <c r="F35" s="4" t="s">
        <v>216</v>
      </c>
      <c r="G35" s="5">
        <v>14</v>
      </c>
      <c r="H35" s="4" t="s">
        <v>27</v>
      </c>
      <c r="I35" s="6" t="s">
        <v>35</v>
      </c>
      <c r="J35" s="7">
        <v>3</v>
      </c>
      <c r="K35" s="8">
        <v>21.4</v>
      </c>
      <c r="L35" s="9" t="s">
        <v>493</v>
      </c>
      <c r="M35" s="9" t="s">
        <v>494</v>
      </c>
      <c r="N35" s="9" t="s">
        <v>346</v>
      </c>
      <c r="O35" s="9" t="s">
        <v>495</v>
      </c>
      <c r="P35" s="9" t="s">
        <v>496</v>
      </c>
      <c r="Q35" s="10">
        <v>17220</v>
      </c>
      <c r="R35" s="10">
        <v>2918</v>
      </c>
      <c r="S35" s="11">
        <v>1022.57</v>
      </c>
      <c r="T35" s="3" t="b">
        <v>1</v>
      </c>
      <c r="U35" s="3" t="b">
        <v>0</v>
      </c>
      <c r="V35" s="3" t="b">
        <v>1</v>
      </c>
    </row>
    <row r="36" spans="1:22" ht="45" x14ac:dyDescent="0.25">
      <c r="A36" s="3" t="s">
        <v>22</v>
      </c>
      <c r="B36" s="3">
        <v>3</v>
      </c>
      <c r="C36" s="4" t="s">
        <v>23</v>
      </c>
      <c r="D36" s="4" t="s">
        <v>221</v>
      </c>
      <c r="E36" s="3" t="s">
        <v>222</v>
      </c>
      <c r="F36" s="4" t="s">
        <v>223</v>
      </c>
      <c r="G36" s="5">
        <v>12</v>
      </c>
      <c r="H36" s="4" t="s">
        <v>27</v>
      </c>
      <c r="I36" s="6" t="s">
        <v>28</v>
      </c>
      <c r="J36" s="7">
        <v>0</v>
      </c>
      <c r="K36" s="8">
        <v>0</v>
      </c>
      <c r="L36" s="9"/>
      <c r="M36" s="9" t="s">
        <v>224</v>
      </c>
      <c r="N36" s="9" t="s">
        <v>30</v>
      </c>
      <c r="O36" s="9" t="s">
        <v>225</v>
      </c>
      <c r="P36" s="9" t="s">
        <v>226</v>
      </c>
      <c r="Q36" s="10">
        <v>17210</v>
      </c>
      <c r="R36" s="10">
        <v>2644</v>
      </c>
      <c r="S36" s="11">
        <v>934.53</v>
      </c>
      <c r="T36" s="3" t="b">
        <v>1</v>
      </c>
      <c r="U36" s="3" t="b">
        <v>0</v>
      </c>
      <c r="V36" s="3" t="b">
        <v>1</v>
      </c>
    </row>
    <row r="37" spans="1:22" ht="45" x14ac:dyDescent="0.25">
      <c r="A37" s="3" t="s">
        <v>22</v>
      </c>
      <c r="B37" s="3">
        <v>3</v>
      </c>
      <c r="C37" s="4" t="s">
        <v>23</v>
      </c>
      <c r="D37" s="4" t="s">
        <v>221</v>
      </c>
      <c r="E37" s="3" t="s">
        <v>227</v>
      </c>
      <c r="F37" s="4" t="s">
        <v>228</v>
      </c>
      <c r="G37" s="5">
        <v>10</v>
      </c>
      <c r="H37" s="4" t="s">
        <v>27</v>
      </c>
      <c r="I37" s="6" t="s">
        <v>28</v>
      </c>
      <c r="J37" s="7">
        <v>0</v>
      </c>
      <c r="K37" s="8">
        <v>0</v>
      </c>
      <c r="L37" s="9"/>
      <c r="M37" s="9" t="s">
        <v>229</v>
      </c>
      <c r="N37" s="9" t="s">
        <v>30</v>
      </c>
      <c r="O37" s="9" t="s">
        <v>230</v>
      </c>
      <c r="P37" s="9" t="s">
        <v>231</v>
      </c>
      <c r="Q37" s="10">
        <v>17210</v>
      </c>
      <c r="R37" s="10">
        <v>2644</v>
      </c>
      <c r="S37" s="11">
        <v>934.53</v>
      </c>
      <c r="T37" s="3" t="b">
        <v>1</v>
      </c>
      <c r="U37" s="3" t="b">
        <v>0</v>
      </c>
      <c r="V37" s="3" t="b">
        <v>1</v>
      </c>
    </row>
    <row r="38" spans="1:22" ht="45" x14ac:dyDescent="0.25">
      <c r="A38" s="3" t="s">
        <v>22</v>
      </c>
      <c r="B38" s="3">
        <v>3</v>
      </c>
      <c r="C38" s="4" t="s">
        <v>23</v>
      </c>
      <c r="D38" s="4" t="s">
        <v>221</v>
      </c>
      <c r="E38" s="3" t="s">
        <v>232</v>
      </c>
      <c r="F38" s="4" t="s">
        <v>233</v>
      </c>
      <c r="G38" s="5">
        <v>8</v>
      </c>
      <c r="H38" s="4" t="s">
        <v>27</v>
      </c>
      <c r="I38" s="6" t="s">
        <v>28</v>
      </c>
      <c r="J38" s="7">
        <v>0</v>
      </c>
      <c r="K38" s="8">
        <v>0</v>
      </c>
      <c r="L38" s="9"/>
      <c r="M38" s="9" t="s">
        <v>234</v>
      </c>
      <c r="N38" s="9" t="s">
        <v>30</v>
      </c>
      <c r="O38" s="9" t="s">
        <v>235</v>
      </c>
      <c r="P38" s="9" t="s">
        <v>236</v>
      </c>
      <c r="Q38" s="10">
        <v>17210</v>
      </c>
      <c r="R38" s="10">
        <v>2644</v>
      </c>
      <c r="S38" s="11">
        <v>934.53</v>
      </c>
      <c r="T38" s="3" t="b">
        <v>1</v>
      </c>
      <c r="U38" s="3" t="b">
        <v>0</v>
      </c>
      <c r="V38" s="3" t="b">
        <v>1</v>
      </c>
    </row>
    <row r="39" spans="1:22" ht="45" x14ac:dyDescent="0.25">
      <c r="A39" s="3" t="s">
        <v>22</v>
      </c>
      <c r="B39" s="3">
        <v>3</v>
      </c>
      <c r="C39" s="4" t="s">
        <v>23</v>
      </c>
      <c r="D39" s="4" t="s">
        <v>221</v>
      </c>
      <c r="E39" s="3" t="s">
        <v>237</v>
      </c>
      <c r="F39" s="4" t="s">
        <v>238</v>
      </c>
      <c r="G39" s="5">
        <v>10</v>
      </c>
      <c r="H39" s="4" t="s">
        <v>27</v>
      </c>
      <c r="I39" s="6" t="s">
        <v>28</v>
      </c>
      <c r="J39" s="7">
        <v>0</v>
      </c>
      <c r="K39" s="8">
        <v>0</v>
      </c>
      <c r="L39" s="9"/>
      <c r="M39" s="9" t="s">
        <v>239</v>
      </c>
      <c r="N39" s="9" t="s">
        <v>30</v>
      </c>
      <c r="O39" s="9" t="s">
        <v>240</v>
      </c>
      <c r="P39" s="9" t="s">
        <v>241</v>
      </c>
      <c r="Q39" s="10">
        <v>17210</v>
      </c>
      <c r="R39" s="10">
        <v>2644</v>
      </c>
      <c r="S39" s="11">
        <v>934.53</v>
      </c>
      <c r="T39" s="3" t="b">
        <v>1</v>
      </c>
      <c r="U39" s="3" t="b">
        <v>0</v>
      </c>
      <c r="V39" s="3" t="b">
        <v>1</v>
      </c>
    </row>
    <row r="40" spans="1:22" ht="45" x14ac:dyDescent="0.25">
      <c r="A40" s="3" t="s">
        <v>22</v>
      </c>
      <c r="B40" s="3">
        <v>3</v>
      </c>
      <c r="C40" s="4" t="s">
        <v>23</v>
      </c>
      <c r="D40" s="4" t="s">
        <v>221</v>
      </c>
      <c r="E40" s="3" t="s">
        <v>242</v>
      </c>
      <c r="F40" s="4" t="s">
        <v>243</v>
      </c>
      <c r="G40" s="5">
        <v>6</v>
      </c>
      <c r="H40" s="4" t="s">
        <v>27</v>
      </c>
      <c r="I40" s="6" t="s">
        <v>28</v>
      </c>
      <c r="J40" s="7">
        <v>0</v>
      </c>
      <c r="K40" s="8">
        <v>0</v>
      </c>
      <c r="L40" s="9"/>
      <c r="M40" s="9" t="s">
        <v>244</v>
      </c>
      <c r="N40" s="9" t="s">
        <v>30</v>
      </c>
      <c r="O40" s="9" t="s">
        <v>245</v>
      </c>
      <c r="P40" s="9" t="s">
        <v>246</v>
      </c>
      <c r="Q40" s="10">
        <v>17210</v>
      </c>
      <c r="R40" s="10">
        <v>2644</v>
      </c>
      <c r="S40" s="11">
        <v>934.53</v>
      </c>
      <c r="T40" s="3" t="b">
        <v>1</v>
      </c>
      <c r="U40" s="3" t="b">
        <v>0</v>
      </c>
      <c r="V40" s="3" t="b">
        <v>1</v>
      </c>
    </row>
    <row r="41" spans="1:22" ht="45" x14ac:dyDescent="0.25">
      <c r="A41" s="3" t="s">
        <v>22</v>
      </c>
      <c r="B41" s="3">
        <v>3</v>
      </c>
      <c r="C41" s="4" t="s">
        <v>23</v>
      </c>
      <c r="D41" s="4" t="s">
        <v>221</v>
      </c>
      <c r="E41" s="3" t="s">
        <v>247</v>
      </c>
      <c r="F41" s="4" t="s">
        <v>248</v>
      </c>
      <c r="G41" s="5">
        <v>20</v>
      </c>
      <c r="H41" s="4" t="s">
        <v>27</v>
      </c>
      <c r="I41" s="6" t="s">
        <v>28</v>
      </c>
      <c r="J41" s="7">
        <v>0</v>
      </c>
      <c r="K41" s="8">
        <v>0</v>
      </c>
      <c r="L41" s="9"/>
      <c r="M41" s="9" t="s">
        <v>249</v>
      </c>
      <c r="N41" s="9" t="s">
        <v>30</v>
      </c>
      <c r="O41" s="9" t="s">
        <v>250</v>
      </c>
      <c r="P41" s="9" t="s">
        <v>393</v>
      </c>
      <c r="Q41" s="10">
        <v>17210</v>
      </c>
      <c r="R41" s="10">
        <v>2644</v>
      </c>
      <c r="S41" s="11">
        <v>934.53</v>
      </c>
      <c r="T41" s="3" t="b">
        <v>1</v>
      </c>
      <c r="U41" s="3" t="b">
        <v>0</v>
      </c>
      <c r="V41" s="3" t="b">
        <v>1</v>
      </c>
    </row>
    <row r="42" spans="1:22" ht="45" x14ac:dyDescent="0.25">
      <c r="A42" s="3" t="s">
        <v>22</v>
      </c>
      <c r="B42" s="3">
        <v>3</v>
      </c>
      <c r="C42" s="4" t="s">
        <v>23</v>
      </c>
      <c r="D42" s="4" t="s">
        <v>221</v>
      </c>
      <c r="E42" s="3" t="s">
        <v>252</v>
      </c>
      <c r="F42" s="4" t="s">
        <v>253</v>
      </c>
      <c r="G42" s="5">
        <v>12</v>
      </c>
      <c r="H42" s="4" t="s">
        <v>27</v>
      </c>
      <c r="I42" s="6" t="s">
        <v>28</v>
      </c>
      <c r="J42" s="7">
        <v>0</v>
      </c>
      <c r="K42" s="8">
        <v>0</v>
      </c>
      <c r="L42" s="9"/>
      <c r="M42" s="9" t="s">
        <v>254</v>
      </c>
      <c r="N42" s="9" t="s">
        <v>30</v>
      </c>
      <c r="O42" s="9" t="s">
        <v>255</v>
      </c>
      <c r="P42" s="9" t="s">
        <v>394</v>
      </c>
      <c r="Q42" s="10">
        <v>17210</v>
      </c>
      <c r="R42" s="10">
        <v>2644</v>
      </c>
      <c r="S42" s="11">
        <v>934.53</v>
      </c>
      <c r="T42" s="3" t="b">
        <v>1</v>
      </c>
      <c r="U42" s="3" t="b">
        <v>0</v>
      </c>
      <c r="V42" s="3" t="b">
        <v>1</v>
      </c>
    </row>
    <row r="43" spans="1:22" ht="45" x14ac:dyDescent="0.25">
      <c r="A43" s="3" t="s">
        <v>22</v>
      </c>
      <c r="B43" s="3">
        <v>3</v>
      </c>
      <c r="C43" s="4" t="s">
        <v>23</v>
      </c>
      <c r="D43" s="4" t="s">
        <v>221</v>
      </c>
      <c r="E43" s="3" t="s">
        <v>257</v>
      </c>
      <c r="F43" s="4" t="s">
        <v>258</v>
      </c>
      <c r="G43" s="5">
        <v>10</v>
      </c>
      <c r="H43" s="4" t="s">
        <v>27</v>
      </c>
      <c r="I43" s="6" t="s">
        <v>28</v>
      </c>
      <c r="J43" s="7">
        <v>0</v>
      </c>
      <c r="K43" s="8">
        <v>0</v>
      </c>
      <c r="L43" s="9"/>
      <c r="M43" s="9" t="s">
        <v>259</v>
      </c>
      <c r="N43" s="9" t="s">
        <v>30</v>
      </c>
      <c r="O43" s="9" t="s">
        <v>260</v>
      </c>
      <c r="P43" s="9" t="s">
        <v>261</v>
      </c>
      <c r="Q43" s="10">
        <v>17210</v>
      </c>
      <c r="R43" s="10">
        <v>2644</v>
      </c>
      <c r="S43" s="11">
        <v>934.53</v>
      </c>
      <c r="T43" s="3" t="b">
        <v>1</v>
      </c>
      <c r="U43" s="3" t="b">
        <v>0</v>
      </c>
      <c r="V43" s="3" t="b">
        <v>1</v>
      </c>
    </row>
    <row r="44" spans="1:22" ht="45" x14ac:dyDescent="0.25">
      <c r="A44" s="3" t="s">
        <v>22</v>
      </c>
      <c r="B44" s="3">
        <v>3</v>
      </c>
      <c r="C44" s="4" t="s">
        <v>23</v>
      </c>
      <c r="D44" s="4" t="s">
        <v>221</v>
      </c>
      <c r="E44" s="3" t="s">
        <v>262</v>
      </c>
      <c r="F44" s="4" t="s">
        <v>263</v>
      </c>
      <c r="G44" s="5">
        <v>8</v>
      </c>
      <c r="H44" s="4" t="s">
        <v>27</v>
      </c>
      <c r="I44" s="6" t="s">
        <v>28</v>
      </c>
      <c r="J44" s="7">
        <v>0</v>
      </c>
      <c r="K44" s="8">
        <v>0</v>
      </c>
      <c r="L44" s="9"/>
      <c r="M44" s="9" t="s">
        <v>395</v>
      </c>
      <c r="N44" s="9" t="s">
        <v>30</v>
      </c>
      <c r="O44" s="9" t="s">
        <v>265</v>
      </c>
      <c r="P44" s="9" t="s">
        <v>266</v>
      </c>
      <c r="Q44" s="10">
        <v>17210</v>
      </c>
      <c r="R44" s="10">
        <v>2644</v>
      </c>
      <c r="S44" s="11">
        <v>934.53</v>
      </c>
      <c r="T44" s="3" t="b">
        <v>1</v>
      </c>
      <c r="U44" s="3" t="b">
        <v>0</v>
      </c>
      <c r="V44" s="3" t="b">
        <v>1</v>
      </c>
    </row>
    <row r="45" spans="1:22" ht="45" x14ac:dyDescent="0.25">
      <c r="A45" s="3" t="s">
        <v>22</v>
      </c>
      <c r="B45" s="3">
        <v>3</v>
      </c>
      <c r="C45" s="4" t="s">
        <v>23</v>
      </c>
      <c r="D45" s="4" t="s">
        <v>221</v>
      </c>
      <c r="E45" s="3" t="s">
        <v>267</v>
      </c>
      <c r="F45" s="4" t="s">
        <v>268</v>
      </c>
      <c r="G45" s="5">
        <v>14</v>
      </c>
      <c r="H45" s="4" t="s">
        <v>27</v>
      </c>
      <c r="I45" s="6" t="s">
        <v>28</v>
      </c>
      <c r="J45" s="7">
        <v>0</v>
      </c>
      <c r="K45" s="8">
        <v>0</v>
      </c>
      <c r="L45" s="9"/>
      <c r="M45" s="9" t="s">
        <v>269</v>
      </c>
      <c r="N45" s="9" t="s">
        <v>30</v>
      </c>
      <c r="O45" s="9" t="s">
        <v>270</v>
      </c>
      <c r="P45" s="9" t="s">
        <v>271</v>
      </c>
      <c r="Q45" s="10">
        <v>17210</v>
      </c>
      <c r="R45" s="10">
        <v>2644</v>
      </c>
      <c r="S45" s="11">
        <v>934.53</v>
      </c>
      <c r="T45" s="3" t="b">
        <v>1</v>
      </c>
      <c r="U45" s="3" t="b">
        <v>0</v>
      </c>
      <c r="V45" s="3" t="b">
        <v>1</v>
      </c>
    </row>
    <row r="46" spans="1:22" ht="45" x14ac:dyDescent="0.25">
      <c r="A46" s="3" t="s">
        <v>22</v>
      </c>
      <c r="B46" s="3">
        <v>3</v>
      </c>
      <c r="C46" s="4" t="s">
        <v>23</v>
      </c>
      <c r="D46" s="4" t="s">
        <v>221</v>
      </c>
      <c r="E46" s="3" t="s">
        <v>272</v>
      </c>
      <c r="F46" s="4" t="s">
        <v>273</v>
      </c>
      <c r="G46" s="5">
        <v>12</v>
      </c>
      <c r="H46" s="4" t="s">
        <v>27</v>
      </c>
      <c r="I46" s="6" t="s">
        <v>28</v>
      </c>
      <c r="J46" s="7">
        <v>0</v>
      </c>
      <c r="K46" s="8">
        <v>0</v>
      </c>
      <c r="L46" s="9"/>
      <c r="M46" s="9" t="s">
        <v>274</v>
      </c>
      <c r="N46" s="9" t="s">
        <v>30</v>
      </c>
      <c r="O46" s="9" t="s">
        <v>275</v>
      </c>
      <c r="P46" s="9" t="s">
        <v>396</v>
      </c>
      <c r="Q46" s="10">
        <v>17210</v>
      </c>
      <c r="R46" s="10">
        <v>2644</v>
      </c>
      <c r="S46" s="11">
        <v>934.53</v>
      </c>
      <c r="T46" s="3" t="b">
        <v>1</v>
      </c>
      <c r="U46" s="3" t="b">
        <v>0</v>
      </c>
      <c r="V46" s="3" t="b">
        <v>1</v>
      </c>
    </row>
    <row r="47" spans="1:22" ht="45" x14ac:dyDescent="0.25">
      <c r="A47" s="3" t="s">
        <v>22</v>
      </c>
      <c r="B47" s="3">
        <v>3</v>
      </c>
      <c r="C47" s="4" t="s">
        <v>23</v>
      </c>
      <c r="D47" s="4" t="s">
        <v>221</v>
      </c>
      <c r="E47" s="3" t="s">
        <v>277</v>
      </c>
      <c r="F47" s="4" t="s">
        <v>278</v>
      </c>
      <c r="G47" s="5">
        <v>10</v>
      </c>
      <c r="H47" s="4" t="s">
        <v>27</v>
      </c>
      <c r="I47" s="6" t="s">
        <v>28</v>
      </c>
      <c r="J47" s="7">
        <v>0</v>
      </c>
      <c r="K47" s="8">
        <v>0</v>
      </c>
      <c r="L47" s="9"/>
      <c r="M47" s="9" t="s">
        <v>279</v>
      </c>
      <c r="N47" s="9" t="s">
        <v>30</v>
      </c>
      <c r="O47" s="9" t="s">
        <v>280</v>
      </c>
      <c r="P47" s="9" t="s">
        <v>397</v>
      </c>
      <c r="Q47" s="10">
        <v>17210</v>
      </c>
      <c r="R47" s="10">
        <v>2644</v>
      </c>
      <c r="S47" s="11">
        <v>934.53</v>
      </c>
      <c r="T47" s="3" t="b">
        <v>1</v>
      </c>
      <c r="U47" s="3" t="b">
        <v>0</v>
      </c>
      <c r="V47" s="3" t="b">
        <v>1</v>
      </c>
    </row>
    <row r="48" spans="1:22" ht="45" x14ac:dyDescent="0.25">
      <c r="A48" s="3" t="s">
        <v>22</v>
      </c>
      <c r="B48" s="3">
        <v>3</v>
      </c>
      <c r="C48" s="4" t="s">
        <v>23</v>
      </c>
      <c r="D48" s="4" t="s">
        <v>221</v>
      </c>
      <c r="E48" s="3" t="s">
        <v>282</v>
      </c>
      <c r="F48" s="4" t="s">
        <v>283</v>
      </c>
      <c r="G48" s="5">
        <v>8</v>
      </c>
      <c r="H48" s="4" t="s">
        <v>27</v>
      </c>
      <c r="I48" s="6" t="s">
        <v>28</v>
      </c>
      <c r="J48" s="7">
        <v>0</v>
      </c>
      <c r="K48" s="8">
        <v>0</v>
      </c>
      <c r="L48" s="9"/>
      <c r="M48" s="9" t="s">
        <v>284</v>
      </c>
      <c r="N48" s="9" t="s">
        <v>30</v>
      </c>
      <c r="O48" s="9" t="s">
        <v>285</v>
      </c>
      <c r="P48" s="9" t="s">
        <v>286</v>
      </c>
      <c r="Q48" s="10">
        <v>17210</v>
      </c>
      <c r="R48" s="10">
        <v>2644</v>
      </c>
      <c r="S48" s="11">
        <v>934.53</v>
      </c>
      <c r="T48" s="3" t="b">
        <v>1</v>
      </c>
      <c r="U48" s="3" t="b">
        <v>0</v>
      </c>
      <c r="V48" s="3" t="b">
        <v>1</v>
      </c>
    </row>
  </sheetData>
  <autoFilter ref="A1:V48" xr:uid="{00000000-0009-0000-0000-000002000000}"/>
  <conditionalFormatting sqref="D3:D48">
    <cfRule type="containsText" dxfId="240" priority="44" operator="containsText" text="Climate And Resilience">
      <formula>NOT(ISERROR(SEARCH("Climate And Resilience",D3)))</formula>
    </cfRule>
    <cfRule type="containsText" dxfId="239" priority="45" operator="containsText" text="Leadership">
      <formula>NOT(ISERROR(SEARCH("Leadership",D3)))</formula>
    </cfRule>
    <cfRule type="containsText" dxfId="238" priority="46" operator="containsText" text="Natural World">
      <formula>NOT(ISERROR(SEARCH("Natural World",D3)))</formula>
    </cfRule>
    <cfRule type="containsText" dxfId="237" priority="47" operator="containsText" text="Quality Of Life">
      <formula>NOT(ISERROR(SEARCH("Quality Of Life",D3)))</formula>
    </cfRule>
    <cfRule type="containsText" dxfId="236" priority="48" operator="containsText" text="Resource Allocation">
      <formula>NOT(ISERROR(SEARCH("Resource Allocation",D3)))</formula>
    </cfRule>
  </conditionalFormatting>
  <conditionalFormatting sqref="G3:G48">
    <cfRule type="dataBar" priority="601">
      <dataBar>
        <cfvo type="min"/>
        <cfvo type="max"/>
        <color rgb="FF5B9BD5"/>
      </dataBar>
    </cfRule>
  </conditionalFormatting>
  <conditionalFormatting sqref="H3:H48">
    <cfRule type="containsText" dxfId="235" priority="34" operator="containsText" text="Not Applicable">
      <formula>NOT(ISERROR(SEARCH("Not Applicable",H3)))</formula>
    </cfRule>
    <cfRule type="containsText" dxfId="234" priority="35" operator="containsText" text="Applicable">
      <formula>NOT(ISERROR(SEARCH("Applicable",H3)))</formula>
    </cfRule>
  </conditionalFormatting>
  <conditionalFormatting sqref="I3:I48">
    <cfRule type="containsText" dxfId="233" priority="28" operator="containsText" text="No Level">
      <formula>NOT(ISERROR(SEARCH("No Level",I3)))</formula>
    </cfRule>
    <cfRule type="containsText" dxfId="232" priority="29" operator="containsText" text="Improved">
      <formula>NOT(ISERROR(SEARCH("Improved",I3)))</formula>
    </cfRule>
    <cfRule type="containsText" dxfId="231" priority="30" operator="containsText" text="Enhanced">
      <formula>NOT(ISERROR(SEARCH("Enhanced",I3)))</formula>
    </cfRule>
    <cfRule type="containsText" dxfId="230" priority="31" operator="containsText" text="Superior">
      <formula>NOT(ISERROR(SEARCH("Superior",I3)))</formula>
    </cfRule>
    <cfRule type="containsText" dxfId="229" priority="32" operator="containsText" text="Conserving">
      <formula>NOT(ISERROR(SEARCH("Conserving",I3)))</formula>
    </cfRule>
    <cfRule type="containsText" dxfId="228" priority="33" operator="containsText" text="Restorative">
      <formula>NOT(ISERROR(SEARCH("Restorative",I3)))</formula>
    </cfRule>
  </conditionalFormatting>
  <conditionalFormatting sqref="J3:J48">
    <cfRule type="dataBar" priority="602">
      <dataBar>
        <cfvo type="min"/>
        <cfvo type="max"/>
        <color rgb="FF70AD47"/>
      </dataBar>
    </cfRule>
  </conditionalFormatting>
  <conditionalFormatting sqref="K3:K48">
    <cfRule type="colorScale" priority="2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3:R48">
    <cfRule type="dataBar" priority="603">
      <dataBar>
        <cfvo type="min"/>
        <cfvo type="max"/>
        <color rgb="FFA5A5A5"/>
      </dataBar>
    </cfRule>
  </conditionalFormatting>
  <conditionalFormatting sqref="S3:S48">
    <cfRule type="dataBar" priority="604">
      <dataBar>
        <cfvo type="min"/>
        <cfvo type="max"/>
        <color rgb="FFED7D31"/>
      </dataBar>
    </cfRule>
  </conditionalFormatting>
  <conditionalFormatting sqref="T3:T48">
    <cfRule type="cellIs" dxfId="227" priority="38" operator="equal">
      <formula>TRUE</formula>
    </cfRule>
    <cfRule type="cellIs" dxfId="226" priority="39" operator="equal">
      <formula>FALSE</formula>
    </cfRule>
  </conditionalFormatting>
  <conditionalFormatting sqref="U3:U48">
    <cfRule type="cellIs" dxfId="225" priority="40" operator="equal">
      <formula>TRUE</formula>
    </cfRule>
    <cfRule type="cellIs" dxfId="224" priority="41" operator="equal">
      <formula>FALSE</formula>
    </cfRule>
  </conditionalFormatting>
  <conditionalFormatting sqref="V3:V48">
    <cfRule type="cellIs" dxfId="223" priority="42" operator="equal">
      <formula>TRUE</formula>
    </cfRule>
    <cfRule type="cellIs" dxfId="222" priority="43" operator="equal">
      <formula>FALSE</formula>
    </cfRule>
  </conditionalFormatting>
  <conditionalFormatting sqref="D2:D48">
    <cfRule type="containsText" dxfId="88" priority="16" operator="containsText" text="Climate And Resilience">
      <formula>NOT(ISERROR(SEARCH("Climate And Resilience",D2)))</formula>
    </cfRule>
    <cfRule type="containsText" dxfId="87" priority="17" operator="containsText" text="Leadership">
      <formula>NOT(ISERROR(SEARCH("Leadership",D2)))</formula>
    </cfRule>
    <cfRule type="containsText" dxfId="86" priority="18" operator="containsText" text="Natural World">
      <formula>NOT(ISERROR(SEARCH("Natural World",D2)))</formula>
    </cfRule>
    <cfRule type="containsText" dxfId="85" priority="19" operator="containsText" text="Quality Of Life">
      <formula>NOT(ISERROR(SEARCH("Quality Of Life",D2)))</formula>
    </cfRule>
    <cfRule type="containsText" dxfId="84" priority="20" operator="containsText" text="Resource Allocation">
      <formula>NOT(ISERROR(SEARCH("Resource Allocation",D2)))</formula>
    </cfRule>
  </conditionalFormatting>
  <conditionalFormatting sqref="G2:G48">
    <cfRule type="dataBar" priority="21">
      <dataBar>
        <cfvo type="min"/>
        <cfvo type="max"/>
        <color rgb="FF5B9BD5"/>
      </dataBar>
    </cfRule>
  </conditionalFormatting>
  <conditionalFormatting sqref="H2:H48">
    <cfRule type="containsText" dxfId="83" priority="8" operator="containsText" text="Not Applicable">
      <formula>NOT(ISERROR(SEARCH("Not Applicable",H2)))</formula>
    </cfRule>
    <cfRule type="containsText" dxfId="82" priority="9" operator="containsText" text="Applicable">
      <formula>NOT(ISERROR(SEARCH("Applicable",H2)))</formula>
    </cfRule>
  </conditionalFormatting>
  <conditionalFormatting sqref="I2:I48">
    <cfRule type="containsText" dxfId="81" priority="2" operator="containsText" text="No Level">
      <formula>NOT(ISERROR(SEARCH("No Level",I2)))</formula>
    </cfRule>
    <cfRule type="containsText" dxfId="80" priority="3" operator="containsText" text="Improved">
      <formula>NOT(ISERROR(SEARCH("Improved",I2)))</formula>
    </cfRule>
    <cfRule type="containsText" dxfId="79" priority="4" operator="containsText" text="Enhanced">
      <formula>NOT(ISERROR(SEARCH("Enhanced",I2)))</formula>
    </cfRule>
    <cfRule type="containsText" dxfId="78" priority="5" operator="containsText" text="Superior">
      <formula>NOT(ISERROR(SEARCH("Superior",I2)))</formula>
    </cfRule>
    <cfRule type="containsText" dxfId="77" priority="6" operator="containsText" text="Conserving">
      <formula>NOT(ISERROR(SEARCH("Conserving",I2)))</formula>
    </cfRule>
    <cfRule type="containsText" dxfId="76" priority="7" operator="containsText" text="Restorative">
      <formula>NOT(ISERROR(SEARCH("Restorative",I2)))</formula>
    </cfRule>
  </conditionalFormatting>
  <conditionalFormatting sqref="J2:J48">
    <cfRule type="dataBar" priority="22">
      <dataBar>
        <cfvo type="min"/>
        <cfvo type="max"/>
        <color rgb="FF70AD47"/>
      </dataBar>
    </cfRule>
  </conditionalFormatting>
  <conditionalFormatting sqref="K2:K4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48">
    <cfRule type="dataBar" priority="23">
      <dataBar>
        <cfvo type="min"/>
        <cfvo type="max"/>
        <color rgb="FFA5A5A5"/>
      </dataBar>
    </cfRule>
  </conditionalFormatting>
  <conditionalFormatting sqref="S2:S48">
    <cfRule type="dataBar" priority="24">
      <dataBar>
        <cfvo type="min"/>
        <cfvo type="max"/>
        <color rgb="FFED7D31"/>
      </dataBar>
    </cfRule>
  </conditionalFormatting>
  <conditionalFormatting sqref="T2:T48">
    <cfRule type="cellIs" dxfId="75" priority="10" operator="equal">
      <formula>TRUE</formula>
    </cfRule>
    <cfRule type="cellIs" dxfId="74" priority="11" operator="equal">
      <formula>FALSE</formula>
    </cfRule>
  </conditionalFormatting>
  <conditionalFormatting sqref="U2:U48">
    <cfRule type="cellIs" dxfId="73" priority="12" operator="equal">
      <formula>TRUE</formula>
    </cfRule>
    <cfRule type="cellIs" dxfId="72" priority="13" operator="equal">
      <formula>FALSE</formula>
    </cfRule>
  </conditionalFormatting>
  <conditionalFormatting sqref="V2:V48">
    <cfRule type="cellIs" dxfId="71" priority="14" operator="equal">
      <formula>TRUE</formula>
    </cfRule>
    <cfRule type="cellIs" dxfId="70" priority="15" operator="equal">
      <formula>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8"/>
  <sheetViews>
    <sheetView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45" x14ac:dyDescent="0.25">
      <c r="A2" s="3" t="s">
        <v>22</v>
      </c>
      <c r="B2" s="3">
        <v>4</v>
      </c>
      <c r="C2" s="4" t="s">
        <v>23</v>
      </c>
      <c r="D2" s="4" t="s">
        <v>24</v>
      </c>
      <c r="E2" s="3" t="s">
        <v>25</v>
      </c>
      <c r="F2" s="4" t="s">
        <v>26</v>
      </c>
      <c r="G2" s="5">
        <v>14</v>
      </c>
      <c r="H2" s="4" t="s">
        <v>27</v>
      </c>
      <c r="I2" s="6" t="s">
        <v>28</v>
      </c>
      <c r="J2" s="7">
        <v>0</v>
      </c>
      <c r="K2" s="8">
        <v>0</v>
      </c>
      <c r="L2" s="9"/>
      <c r="M2" s="9" t="s">
        <v>29</v>
      </c>
      <c r="N2" s="9" t="s">
        <v>30</v>
      </c>
      <c r="O2" s="9" t="s">
        <v>31</v>
      </c>
      <c r="P2" s="9" t="s">
        <v>32</v>
      </c>
      <c r="Q2" s="10">
        <v>17617</v>
      </c>
      <c r="R2" s="10">
        <v>1228</v>
      </c>
      <c r="S2" s="11">
        <v>432.19</v>
      </c>
      <c r="T2" s="3" t="b">
        <v>1</v>
      </c>
      <c r="U2" s="3" t="b">
        <v>0</v>
      </c>
      <c r="V2" s="3" t="b">
        <v>1</v>
      </c>
    </row>
    <row r="3" spans="1:22" ht="45" x14ac:dyDescent="0.25">
      <c r="A3" s="3" t="s">
        <v>22</v>
      </c>
      <c r="B3" s="3">
        <v>4</v>
      </c>
      <c r="C3" s="4" t="s">
        <v>23</v>
      </c>
      <c r="D3" s="4" t="s">
        <v>24</v>
      </c>
      <c r="E3" s="3" t="s">
        <v>33</v>
      </c>
      <c r="F3" s="4" t="s">
        <v>34</v>
      </c>
      <c r="G3" s="5">
        <v>20</v>
      </c>
      <c r="H3" s="4" t="s">
        <v>27</v>
      </c>
      <c r="I3" s="6" t="s">
        <v>28</v>
      </c>
      <c r="J3" s="7">
        <v>0</v>
      </c>
      <c r="K3" s="8">
        <v>0</v>
      </c>
      <c r="L3" s="9"/>
      <c r="M3" s="9" t="s">
        <v>497</v>
      </c>
      <c r="N3" s="9" t="s">
        <v>30</v>
      </c>
      <c r="O3" s="9" t="s">
        <v>498</v>
      </c>
      <c r="P3" s="9" t="s">
        <v>499</v>
      </c>
      <c r="Q3" s="10">
        <v>17617</v>
      </c>
      <c r="R3" s="10">
        <v>1228</v>
      </c>
      <c r="S3" s="11">
        <v>432.19</v>
      </c>
      <c r="T3" s="3" t="b">
        <v>1</v>
      </c>
      <c r="U3" s="3" t="b">
        <v>0</v>
      </c>
      <c r="V3" s="3" t="b">
        <v>1</v>
      </c>
    </row>
    <row r="4" spans="1:22" ht="45" x14ac:dyDescent="0.25">
      <c r="A4" s="3" t="s">
        <v>22</v>
      </c>
      <c r="B4" s="3">
        <v>4</v>
      </c>
      <c r="C4" s="4" t="s">
        <v>23</v>
      </c>
      <c r="D4" s="4" t="s">
        <v>24</v>
      </c>
      <c r="E4" s="3" t="s">
        <v>39</v>
      </c>
      <c r="F4" s="4" t="s">
        <v>40</v>
      </c>
      <c r="G4" s="5">
        <v>26</v>
      </c>
      <c r="H4" s="4" t="s">
        <v>27</v>
      </c>
      <c r="I4" s="6" t="s">
        <v>28</v>
      </c>
      <c r="J4" s="7">
        <v>0</v>
      </c>
      <c r="K4" s="8">
        <v>0</v>
      </c>
      <c r="L4" s="9"/>
      <c r="M4" s="9" t="s">
        <v>500</v>
      </c>
      <c r="N4" s="9" t="s">
        <v>42</v>
      </c>
      <c r="O4" s="9" t="s">
        <v>501</v>
      </c>
      <c r="P4" s="9" t="s">
        <v>502</v>
      </c>
      <c r="Q4" s="10">
        <v>17617</v>
      </c>
      <c r="R4" s="10">
        <v>1228</v>
      </c>
      <c r="S4" s="11">
        <v>432.19</v>
      </c>
      <c r="T4" s="3" t="b">
        <v>1</v>
      </c>
      <c r="U4" s="3" t="b">
        <v>0</v>
      </c>
      <c r="V4" s="3" t="b">
        <v>1</v>
      </c>
    </row>
    <row r="5" spans="1:22" ht="45" x14ac:dyDescent="0.25">
      <c r="A5" s="3" t="s">
        <v>22</v>
      </c>
      <c r="B5" s="3">
        <v>4</v>
      </c>
      <c r="C5" s="4" t="s">
        <v>23</v>
      </c>
      <c r="D5" s="4" t="s">
        <v>24</v>
      </c>
      <c r="E5" s="3" t="s">
        <v>45</v>
      </c>
      <c r="F5" s="4" t="s">
        <v>46</v>
      </c>
      <c r="G5" s="5">
        <v>20</v>
      </c>
      <c r="H5" s="4" t="s">
        <v>27</v>
      </c>
      <c r="I5" s="6" t="s">
        <v>28</v>
      </c>
      <c r="J5" s="7">
        <v>0</v>
      </c>
      <c r="K5" s="8">
        <v>0</v>
      </c>
      <c r="L5" s="9"/>
      <c r="M5" s="9" t="s">
        <v>503</v>
      </c>
      <c r="N5" s="9" t="s">
        <v>48</v>
      </c>
      <c r="O5" s="9" t="s">
        <v>504</v>
      </c>
      <c r="P5" s="9" t="s">
        <v>505</v>
      </c>
      <c r="Q5" s="10">
        <v>17617</v>
      </c>
      <c r="R5" s="10">
        <v>1228</v>
      </c>
      <c r="S5" s="11">
        <v>432.19</v>
      </c>
      <c r="T5" s="3" t="b">
        <v>1</v>
      </c>
      <c r="U5" s="3" t="b">
        <v>0</v>
      </c>
      <c r="V5" s="3" t="b">
        <v>1</v>
      </c>
    </row>
    <row r="6" spans="1:22" ht="45" x14ac:dyDescent="0.25">
      <c r="A6" s="3" t="s">
        <v>22</v>
      </c>
      <c r="B6" s="3">
        <v>4</v>
      </c>
      <c r="C6" s="4" t="s">
        <v>23</v>
      </c>
      <c r="D6" s="4" t="s">
        <v>24</v>
      </c>
      <c r="E6" s="3" t="s">
        <v>51</v>
      </c>
      <c r="F6" s="4" t="s">
        <v>52</v>
      </c>
      <c r="G6" s="5">
        <v>26</v>
      </c>
      <c r="H6" s="4" t="s">
        <v>27</v>
      </c>
      <c r="I6" s="6" t="s">
        <v>28</v>
      </c>
      <c r="J6" s="7">
        <v>0</v>
      </c>
      <c r="K6" s="8">
        <v>0</v>
      </c>
      <c r="L6" s="9"/>
      <c r="M6" s="9" t="s">
        <v>506</v>
      </c>
      <c r="N6" s="9" t="s">
        <v>42</v>
      </c>
      <c r="O6" s="9" t="s">
        <v>507</v>
      </c>
      <c r="P6" s="9" t="s">
        <v>508</v>
      </c>
      <c r="Q6" s="10">
        <v>17617</v>
      </c>
      <c r="R6" s="10">
        <v>1228</v>
      </c>
      <c r="S6" s="11">
        <v>432.19</v>
      </c>
      <c r="T6" s="3" t="b">
        <v>1</v>
      </c>
      <c r="U6" s="3" t="b">
        <v>0</v>
      </c>
      <c r="V6" s="3" t="b">
        <v>1</v>
      </c>
    </row>
    <row r="7" spans="1:22" ht="45" x14ac:dyDescent="0.25">
      <c r="A7" s="3" t="s">
        <v>22</v>
      </c>
      <c r="B7" s="3">
        <v>4</v>
      </c>
      <c r="C7" s="4" t="s">
        <v>23</v>
      </c>
      <c r="D7" s="4" t="s">
        <v>24</v>
      </c>
      <c r="E7" s="3" t="s">
        <v>56</v>
      </c>
      <c r="F7" s="4" t="s">
        <v>57</v>
      </c>
      <c r="G7" s="5">
        <v>18</v>
      </c>
      <c r="H7" s="4" t="s">
        <v>27</v>
      </c>
      <c r="I7" s="6" t="s">
        <v>28</v>
      </c>
      <c r="J7" s="7">
        <v>0</v>
      </c>
      <c r="K7" s="8">
        <v>0</v>
      </c>
      <c r="L7" s="9"/>
      <c r="M7" s="9" t="s">
        <v>306</v>
      </c>
      <c r="N7" s="9" t="s">
        <v>307</v>
      </c>
      <c r="O7" s="9" t="s">
        <v>308</v>
      </c>
      <c r="P7" s="9" t="s">
        <v>309</v>
      </c>
      <c r="Q7" s="10">
        <v>17617</v>
      </c>
      <c r="R7" s="10">
        <v>1228</v>
      </c>
      <c r="S7" s="11">
        <v>432.19</v>
      </c>
      <c r="T7" s="3" t="b">
        <v>1</v>
      </c>
      <c r="U7" s="3" t="b">
        <v>0</v>
      </c>
      <c r="V7" s="3" t="b">
        <v>1</v>
      </c>
    </row>
    <row r="8" spans="1:22" ht="45" x14ac:dyDescent="0.25">
      <c r="A8" s="3" t="s">
        <v>22</v>
      </c>
      <c r="B8" s="3">
        <v>4</v>
      </c>
      <c r="C8" s="4" t="s">
        <v>23</v>
      </c>
      <c r="D8" s="4" t="s">
        <v>61</v>
      </c>
      <c r="E8" s="3" t="s">
        <v>62</v>
      </c>
      <c r="F8" s="4" t="s">
        <v>63</v>
      </c>
      <c r="G8" s="5">
        <v>10</v>
      </c>
      <c r="H8" s="4" t="s">
        <v>27</v>
      </c>
      <c r="I8" s="6" t="s">
        <v>35</v>
      </c>
      <c r="J8" s="7">
        <v>2</v>
      </c>
      <c r="K8" s="8">
        <v>20</v>
      </c>
      <c r="L8" s="9"/>
      <c r="M8" s="9" t="s">
        <v>64</v>
      </c>
      <c r="N8" s="9" t="s">
        <v>48</v>
      </c>
      <c r="O8" s="9" t="s">
        <v>65</v>
      </c>
      <c r="P8" s="9" t="s">
        <v>66</v>
      </c>
      <c r="Q8" s="10">
        <v>17191</v>
      </c>
      <c r="R8" s="10">
        <v>1948</v>
      </c>
      <c r="S8" s="11">
        <v>679.79</v>
      </c>
      <c r="T8" s="3" t="b">
        <v>1</v>
      </c>
      <c r="U8" s="3" t="b">
        <v>0</v>
      </c>
      <c r="V8" s="3" t="b">
        <v>1</v>
      </c>
    </row>
    <row r="9" spans="1:22" ht="45" x14ac:dyDescent="0.25">
      <c r="A9" s="3" t="s">
        <v>22</v>
      </c>
      <c r="B9" s="3">
        <v>4</v>
      </c>
      <c r="C9" s="4" t="s">
        <v>23</v>
      </c>
      <c r="D9" s="4" t="s">
        <v>61</v>
      </c>
      <c r="E9" s="3" t="s">
        <v>67</v>
      </c>
      <c r="F9" s="4" t="s">
        <v>68</v>
      </c>
      <c r="G9" s="5">
        <v>8</v>
      </c>
      <c r="H9" s="4" t="s">
        <v>27</v>
      </c>
      <c r="I9" s="6" t="s">
        <v>35</v>
      </c>
      <c r="J9" s="7">
        <v>2</v>
      </c>
      <c r="K9" s="8">
        <v>25</v>
      </c>
      <c r="L9" s="9"/>
      <c r="M9" s="9" t="s">
        <v>69</v>
      </c>
      <c r="N9" s="9" t="s">
        <v>48</v>
      </c>
      <c r="O9" s="9" t="s">
        <v>70</v>
      </c>
      <c r="P9" s="9" t="s">
        <v>71</v>
      </c>
      <c r="Q9" s="10">
        <v>17191</v>
      </c>
      <c r="R9" s="10">
        <v>1948</v>
      </c>
      <c r="S9" s="11">
        <v>679.79</v>
      </c>
      <c r="T9" s="3" t="b">
        <v>1</v>
      </c>
      <c r="U9" s="3" t="b">
        <v>0</v>
      </c>
      <c r="V9" s="3" t="b">
        <v>1</v>
      </c>
    </row>
    <row r="10" spans="1:22" ht="45" x14ac:dyDescent="0.25">
      <c r="A10" s="3" t="s">
        <v>22</v>
      </c>
      <c r="B10" s="3">
        <v>4</v>
      </c>
      <c r="C10" s="4" t="s">
        <v>23</v>
      </c>
      <c r="D10" s="4" t="s">
        <v>61</v>
      </c>
      <c r="E10" s="3" t="s">
        <v>72</v>
      </c>
      <c r="F10" s="4" t="s">
        <v>73</v>
      </c>
      <c r="G10" s="5">
        <v>8</v>
      </c>
      <c r="H10" s="4" t="s">
        <v>27</v>
      </c>
      <c r="I10" s="6" t="s">
        <v>28</v>
      </c>
      <c r="J10" s="7">
        <v>0</v>
      </c>
      <c r="K10" s="8">
        <v>0</v>
      </c>
      <c r="L10" s="9"/>
      <c r="M10" s="9" t="s">
        <v>74</v>
      </c>
      <c r="N10" s="9" t="s">
        <v>30</v>
      </c>
      <c r="O10" s="9" t="s">
        <v>75</v>
      </c>
      <c r="P10" s="9" t="s">
        <v>76</v>
      </c>
      <c r="Q10" s="10">
        <v>17191</v>
      </c>
      <c r="R10" s="10">
        <v>1948</v>
      </c>
      <c r="S10" s="11">
        <v>679.79</v>
      </c>
      <c r="T10" s="3" t="b">
        <v>1</v>
      </c>
      <c r="U10" s="3" t="b">
        <v>0</v>
      </c>
      <c r="V10" s="3" t="b">
        <v>1</v>
      </c>
    </row>
    <row r="11" spans="1:22" ht="45" x14ac:dyDescent="0.25">
      <c r="A11" s="3" t="s">
        <v>22</v>
      </c>
      <c r="B11" s="3">
        <v>4</v>
      </c>
      <c r="C11" s="4" t="s">
        <v>23</v>
      </c>
      <c r="D11" s="4" t="s">
        <v>61</v>
      </c>
      <c r="E11" s="3" t="s">
        <v>77</v>
      </c>
      <c r="F11" s="4" t="s">
        <v>78</v>
      </c>
      <c r="G11" s="5">
        <v>10</v>
      </c>
      <c r="H11" s="4" t="s">
        <v>27</v>
      </c>
      <c r="I11" s="6" t="s">
        <v>28</v>
      </c>
      <c r="J11" s="7">
        <v>0</v>
      </c>
      <c r="K11" s="8">
        <v>0</v>
      </c>
      <c r="L11" s="9"/>
      <c r="M11" s="9" t="s">
        <v>79</v>
      </c>
      <c r="N11" s="9" t="s">
        <v>30</v>
      </c>
      <c r="O11" s="9" t="s">
        <v>509</v>
      </c>
      <c r="P11" s="9" t="s">
        <v>510</v>
      </c>
      <c r="Q11" s="10">
        <v>17191</v>
      </c>
      <c r="R11" s="10">
        <v>1948</v>
      </c>
      <c r="S11" s="11">
        <v>679.79</v>
      </c>
      <c r="T11" s="3" t="b">
        <v>1</v>
      </c>
      <c r="U11" s="3" t="b">
        <v>0</v>
      </c>
      <c r="V11" s="3" t="b">
        <v>1</v>
      </c>
    </row>
    <row r="12" spans="1:22" ht="45" x14ac:dyDescent="0.25">
      <c r="A12" s="3" t="s">
        <v>22</v>
      </c>
      <c r="B12" s="3">
        <v>4</v>
      </c>
      <c r="C12" s="4" t="s">
        <v>23</v>
      </c>
      <c r="D12" s="4" t="s">
        <v>61</v>
      </c>
      <c r="E12" s="3" t="s">
        <v>82</v>
      </c>
      <c r="F12" s="4" t="s">
        <v>83</v>
      </c>
      <c r="G12" s="5">
        <v>12</v>
      </c>
      <c r="H12" s="4" t="s">
        <v>27</v>
      </c>
      <c r="I12" s="6" t="s">
        <v>28</v>
      </c>
      <c r="J12" s="7">
        <v>0</v>
      </c>
      <c r="K12" s="8">
        <v>0</v>
      </c>
      <c r="L12" s="9"/>
      <c r="M12" s="9" t="s">
        <v>84</v>
      </c>
      <c r="N12" s="9" t="s">
        <v>30</v>
      </c>
      <c r="O12" s="9" t="s">
        <v>85</v>
      </c>
      <c r="P12" s="9" t="s">
        <v>86</v>
      </c>
      <c r="Q12" s="10">
        <v>17191</v>
      </c>
      <c r="R12" s="10">
        <v>1948</v>
      </c>
      <c r="S12" s="11">
        <v>679.79</v>
      </c>
      <c r="T12" s="3" t="b">
        <v>1</v>
      </c>
      <c r="U12" s="3" t="b">
        <v>0</v>
      </c>
      <c r="V12" s="3" t="b">
        <v>1</v>
      </c>
    </row>
    <row r="13" spans="1:22" ht="45" x14ac:dyDescent="0.25">
      <c r="A13" s="3" t="s">
        <v>22</v>
      </c>
      <c r="B13" s="3">
        <v>4</v>
      </c>
      <c r="C13" s="4" t="s">
        <v>23</v>
      </c>
      <c r="D13" s="4" t="s">
        <v>61</v>
      </c>
      <c r="E13" s="3" t="s">
        <v>87</v>
      </c>
      <c r="F13" s="4" t="s">
        <v>88</v>
      </c>
      <c r="G13" s="5">
        <v>10</v>
      </c>
      <c r="H13" s="4" t="s">
        <v>27</v>
      </c>
      <c r="I13" s="6" t="s">
        <v>28</v>
      </c>
      <c r="J13" s="7">
        <v>0</v>
      </c>
      <c r="K13" s="8">
        <v>0</v>
      </c>
      <c r="L13" s="9"/>
      <c r="M13" s="9" t="s">
        <v>511</v>
      </c>
      <c r="N13" s="9" t="s">
        <v>30</v>
      </c>
      <c r="O13" s="9" t="s">
        <v>512</v>
      </c>
      <c r="P13" s="9" t="s">
        <v>513</v>
      </c>
      <c r="Q13" s="10">
        <v>17191</v>
      </c>
      <c r="R13" s="10">
        <v>1948</v>
      </c>
      <c r="S13" s="11">
        <v>679.79</v>
      </c>
      <c r="T13" s="3" t="b">
        <v>1</v>
      </c>
      <c r="U13" s="3" t="b">
        <v>0</v>
      </c>
      <c r="V13" s="3" t="b">
        <v>1</v>
      </c>
    </row>
    <row r="14" spans="1:22" ht="45" x14ac:dyDescent="0.25">
      <c r="A14" s="3" t="s">
        <v>22</v>
      </c>
      <c r="B14" s="3">
        <v>4</v>
      </c>
      <c r="C14" s="4" t="s">
        <v>23</v>
      </c>
      <c r="D14" s="4" t="s">
        <v>61</v>
      </c>
      <c r="E14" s="3" t="s">
        <v>92</v>
      </c>
      <c r="F14" s="4" t="s">
        <v>93</v>
      </c>
      <c r="G14" s="5">
        <v>12</v>
      </c>
      <c r="H14" s="4" t="s">
        <v>27</v>
      </c>
      <c r="I14" s="6" t="s">
        <v>28</v>
      </c>
      <c r="J14" s="7">
        <v>0</v>
      </c>
      <c r="K14" s="8">
        <v>0</v>
      </c>
      <c r="L14" s="9"/>
      <c r="M14" s="9" t="s">
        <v>94</v>
      </c>
      <c r="N14" s="9" t="s">
        <v>30</v>
      </c>
      <c r="O14" s="9" t="s">
        <v>95</v>
      </c>
      <c r="P14" s="9" t="s">
        <v>432</v>
      </c>
      <c r="Q14" s="10">
        <v>17191</v>
      </c>
      <c r="R14" s="10">
        <v>1948</v>
      </c>
      <c r="S14" s="11">
        <v>679.79</v>
      </c>
      <c r="T14" s="3" t="b">
        <v>1</v>
      </c>
      <c r="U14" s="3" t="b">
        <v>0</v>
      </c>
      <c r="V14" s="3" t="b">
        <v>1</v>
      </c>
    </row>
    <row r="15" spans="1:22" ht="45" x14ac:dyDescent="0.25">
      <c r="A15" s="3" t="s">
        <v>22</v>
      </c>
      <c r="B15" s="3">
        <v>4</v>
      </c>
      <c r="C15" s="4" t="s">
        <v>23</v>
      </c>
      <c r="D15" s="4" t="s">
        <v>61</v>
      </c>
      <c r="E15" s="3" t="s">
        <v>97</v>
      </c>
      <c r="F15" s="4" t="s">
        <v>514</v>
      </c>
      <c r="G15" s="5">
        <v>10</v>
      </c>
      <c r="H15" s="4" t="s">
        <v>27</v>
      </c>
      <c r="I15" s="6" t="s">
        <v>28</v>
      </c>
      <c r="J15" s="7">
        <v>0</v>
      </c>
      <c r="K15" s="8">
        <v>0</v>
      </c>
      <c r="L15" s="9"/>
      <c r="M15" s="9" t="s">
        <v>515</v>
      </c>
      <c r="N15" s="9" t="s">
        <v>30</v>
      </c>
      <c r="O15" s="9" t="s">
        <v>516</v>
      </c>
      <c r="P15" s="9" t="s">
        <v>517</v>
      </c>
      <c r="Q15" s="10">
        <v>17191</v>
      </c>
      <c r="R15" s="10">
        <v>1948</v>
      </c>
      <c r="S15" s="11">
        <v>679.79</v>
      </c>
      <c r="T15" s="3" t="b">
        <v>1</v>
      </c>
      <c r="U15" s="3" t="b">
        <v>0</v>
      </c>
      <c r="V15" s="3" t="b">
        <v>1</v>
      </c>
    </row>
    <row r="16" spans="1:22" ht="45" x14ac:dyDescent="0.25">
      <c r="A16" s="3" t="s">
        <v>22</v>
      </c>
      <c r="B16" s="3">
        <v>4</v>
      </c>
      <c r="C16" s="4" t="s">
        <v>23</v>
      </c>
      <c r="D16" s="4" t="s">
        <v>61</v>
      </c>
      <c r="E16" s="3" t="s">
        <v>102</v>
      </c>
      <c r="F16" s="4" t="s">
        <v>518</v>
      </c>
      <c r="G16" s="5">
        <v>8</v>
      </c>
      <c r="H16" s="4" t="s">
        <v>27</v>
      </c>
      <c r="I16" s="6" t="s">
        <v>28</v>
      </c>
      <c r="J16" s="7">
        <v>0</v>
      </c>
      <c r="K16" s="8">
        <v>0</v>
      </c>
      <c r="L16" s="9"/>
      <c r="M16" s="9" t="s">
        <v>519</v>
      </c>
      <c r="N16" s="9" t="s">
        <v>30</v>
      </c>
      <c r="O16" s="9" t="s">
        <v>520</v>
      </c>
      <c r="P16" s="9" t="s">
        <v>521</v>
      </c>
      <c r="Q16" s="10">
        <v>17191</v>
      </c>
      <c r="R16" s="10">
        <v>1948</v>
      </c>
      <c r="S16" s="11">
        <v>679.79</v>
      </c>
      <c r="T16" s="3" t="b">
        <v>1</v>
      </c>
      <c r="U16" s="3" t="b">
        <v>0</v>
      </c>
      <c r="V16" s="3" t="b">
        <v>1</v>
      </c>
    </row>
    <row r="17" spans="1:22" ht="45" x14ac:dyDescent="0.25">
      <c r="A17" s="3" t="s">
        <v>22</v>
      </c>
      <c r="B17" s="3">
        <v>4</v>
      </c>
      <c r="C17" s="4" t="s">
        <v>23</v>
      </c>
      <c r="D17" s="4" t="s">
        <v>61</v>
      </c>
      <c r="E17" s="3" t="s">
        <v>107</v>
      </c>
      <c r="F17" s="4" t="s">
        <v>108</v>
      </c>
      <c r="G17" s="5">
        <v>12</v>
      </c>
      <c r="H17" s="4" t="s">
        <v>27</v>
      </c>
      <c r="I17" s="6" t="s">
        <v>28</v>
      </c>
      <c r="J17" s="7">
        <v>0</v>
      </c>
      <c r="K17" s="8">
        <v>0</v>
      </c>
      <c r="L17" s="9"/>
      <c r="M17" s="9" t="s">
        <v>522</v>
      </c>
      <c r="N17" s="9" t="s">
        <v>30</v>
      </c>
      <c r="O17" s="9" t="s">
        <v>110</v>
      </c>
      <c r="P17" s="9" t="s">
        <v>523</v>
      </c>
      <c r="Q17" s="10">
        <v>17191</v>
      </c>
      <c r="R17" s="10">
        <v>1948</v>
      </c>
      <c r="S17" s="11">
        <v>679.79</v>
      </c>
      <c r="T17" s="3" t="b">
        <v>1</v>
      </c>
      <c r="U17" s="3" t="b">
        <v>0</v>
      </c>
      <c r="V17" s="3" t="b">
        <v>1</v>
      </c>
    </row>
    <row r="18" spans="1:22" ht="45" x14ac:dyDescent="0.25">
      <c r="A18" s="3" t="s">
        <v>22</v>
      </c>
      <c r="B18" s="3">
        <v>4</v>
      </c>
      <c r="C18" s="4" t="s">
        <v>23</v>
      </c>
      <c r="D18" s="4" t="s">
        <v>112</v>
      </c>
      <c r="E18" s="3" t="s">
        <v>113</v>
      </c>
      <c r="F18" s="4" t="s">
        <v>114</v>
      </c>
      <c r="G18" s="5">
        <v>14</v>
      </c>
      <c r="H18" s="4" t="s">
        <v>115</v>
      </c>
      <c r="I18" s="6" t="s">
        <v>28</v>
      </c>
      <c r="J18" s="7">
        <v>0</v>
      </c>
      <c r="K18" s="8">
        <v>0</v>
      </c>
      <c r="L18" s="9" t="s">
        <v>524</v>
      </c>
      <c r="M18" s="9" t="s">
        <v>525</v>
      </c>
      <c r="N18" s="9" t="s">
        <v>30</v>
      </c>
      <c r="O18" s="9" t="s">
        <v>526</v>
      </c>
      <c r="P18" s="9" t="s">
        <v>527</v>
      </c>
      <c r="Q18" s="10">
        <v>17916</v>
      </c>
      <c r="R18" s="10">
        <v>1404</v>
      </c>
      <c r="S18" s="11">
        <v>538.95000000000005</v>
      </c>
      <c r="T18" s="3" t="b">
        <v>1</v>
      </c>
      <c r="U18" s="3" t="b">
        <v>0</v>
      </c>
      <c r="V18" s="3" t="b">
        <v>1</v>
      </c>
    </row>
    <row r="19" spans="1:22" ht="45" x14ac:dyDescent="0.25">
      <c r="A19" s="3" t="s">
        <v>22</v>
      </c>
      <c r="B19" s="3">
        <v>4</v>
      </c>
      <c r="C19" s="4" t="s">
        <v>23</v>
      </c>
      <c r="D19" s="4" t="s">
        <v>112</v>
      </c>
      <c r="E19" s="3" t="s">
        <v>120</v>
      </c>
      <c r="F19" s="4" t="s">
        <v>121</v>
      </c>
      <c r="G19" s="5">
        <v>10</v>
      </c>
      <c r="H19" s="4" t="s">
        <v>115</v>
      </c>
      <c r="I19" s="6" t="s">
        <v>28</v>
      </c>
      <c r="J19" s="7">
        <v>0</v>
      </c>
      <c r="K19" s="8">
        <v>0</v>
      </c>
      <c r="L19" s="9" t="s">
        <v>528</v>
      </c>
      <c r="M19" s="9" t="s">
        <v>529</v>
      </c>
      <c r="N19" s="9" t="s">
        <v>30</v>
      </c>
      <c r="O19" s="9" t="s">
        <v>530</v>
      </c>
      <c r="P19" s="9" t="s">
        <v>531</v>
      </c>
      <c r="Q19" s="10">
        <v>17916</v>
      </c>
      <c r="R19" s="10">
        <v>1404</v>
      </c>
      <c r="S19" s="11">
        <v>538.95000000000005</v>
      </c>
      <c r="T19" s="3" t="b">
        <v>1</v>
      </c>
      <c r="U19" s="3" t="b">
        <v>0</v>
      </c>
      <c r="V19" s="3" t="b">
        <v>1</v>
      </c>
    </row>
    <row r="20" spans="1:22" ht="45" x14ac:dyDescent="0.25">
      <c r="A20" s="3" t="s">
        <v>22</v>
      </c>
      <c r="B20" s="3">
        <v>4</v>
      </c>
      <c r="C20" s="4" t="s">
        <v>23</v>
      </c>
      <c r="D20" s="4" t="s">
        <v>112</v>
      </c>
      <c r="E20" s="3" t="s">
        <v>126</v>
      </c>
      <c r="F20" s="4" t="s">
        <v>127</v>
      </c>
      <c r="G20" s="5">
        <v>24</v>
      </c>
      <c r="H20" s="4" t="s">
        <v>115</v>
      </c>
      <c r="I20" s="6" t="s">
        <v>35</v>
      </c>
      <c r="J20" s="7">
        <v>2</v>
      </c>
      <c r="K20" s="8">
        <v>8.3000000000000007</v>
      </c>
      <c r="L20" s="9" t="s">
        <v>532</v>
      </c>
      <c r="M20" s="9" t="s">
        <v>533</v>
      </c>
      <c r="N20" s="9" t="s">
        <v>30</v>
      </c>
      <c r="O20" s="9" t="s">
        <v>534</v>
      </c>
      <c r="P20" s="9" t="s">
        <v>535</v>
      </c>
      <c r="Q20" s="10">
        <v>17916</v>
      </c>
      <c r="R20" s="10">
        <v>1404</v>
      </c>
      <c r="S20" s="11">
        <v>538.95000000000005</v>
      </c>
      <c r="T20" s="3" t="b">
        <v>1</v>
      </c>
      <c r="U20" s="3" t="b">
        <v>0</v>
      </c>
      <c r="V20" s="3" t="b">
        <v>1</v>
      </c>
    </row>
    <row r="21" spans="1:22" ht="45" x14ac:dyDescent="0.25">
      <c r="A21" s="3" t="s">
        <v>22</v>
      </c>
      <c r="B21" s="3">
        <v>4</v>
      </c>
      <c r="C21" s="4" t="s">
        <v>23</v>
      </c>
      <c r="D21" s="4" t="s">
        <v>112</v>
      </c>
      <c r="E21" s="3" t="s">
        <v>132</v>
      </c>
      <c r="F21" s="4" t="s">
        <v>133</v>
      </c>
      <c r="G21" s="5">
        <v>14</v>
      </c>
      <c r="H21" s="4" t="s">
        <v>115</v>
      </c>
      <c r="I21" s="6" t="s">
        <v>28</v>
      </c>
      <c r="J21" s="7">
        <v>0</v>
      </c>
      <c r="K21" s="8">
        <v>0</v>
      </c>
      <c r="L21" s="9" t="s">
        <v>536</v>
      </c>
      <c r="M21" s="9" t="s">
        <v>537</v>
      </c>
      <c r="N21" s="9" t="s">
        <v>30</v>
      </c>
      <c r="O21" s="9" t="s">
        <v>538</v>
      </c>
      <c r="P21" s="9" t="s">
        <v>539</v>
      </c>
      <c r="Q21" s="10">
        <v>17916</v>
      </c>
      <c r="R21" s="10">
        <v>1404</v>
      </c>
      <c r="S21" s="11">
        <v>538.95000000000005</v>
      </c>
      <c r="T21" s="3" t="b">
        <v>1</v>
      </c>
      <c r="U21" s="3" t="b">
        <v>0</v>
      </c>
      <c r="V21" s="3" t="b">
        <v>1</v>
      </c>
    </row>
    <row r="22" spans="1:22" ht="45" x14ac:dyDescent="0.25">
      <c r="A22" s="3" t="s">
        <v>22</v>
      </c>
      <c r="B22" s="3">
        <v>4</v>
      </c>
      <c r="C22" s="4" t="s">
        <v>23</v>
      </c>
      <c r="D22" s="4" t="s">
        <v>112</v>
      </c>
      <c r="E22" s="3" t="s">
        <v>138</v>
      </c>
      <c r="F22" s="4" t="s">
        <v>139</v>
      </c>
      <c r="G22" s="5">
        <v>14</v>
      </c>
      <c r="H22" s="4" t="s">
        <v>115</v>
      </c>
      <c r="I22" s="6" t="s">
        <v>28</v>
      </c>
      <c r="J22" s="7">
        <v>0</v>
      </c>
      <c r="K22" s="8">
        <v>0</v>
      </c>
      <c r="L22" s="9" t="s">
        <v>540</v>
      </c>
      <c r="M22" s="9" t="s">
        <v>541</v>
      </c>
      <c r="N22" s="9" t="s">
        <v>30</v>
      </c>
      <c r="O22" s="9" t="s">
        <v>542</v>
      </c>
      <c r="P22" s="9" t="s">
        <v>543</v>
      </c>
      <c r="Q22" s="10">
        <v>17916</v>
      </c>
      <c r="R22" s="10">
        <v>1404</v>
      </c>
      <c r="S22" s="11">
        <v>538.95000000000005</v>
      </c>
      <c r="T22" s="3" t="b">
        <v>1</v>
      </c>
      <c r="U22" s="3" t="b">
        <v>0</v>
      </c>
      <c r="V22" s="3" t="b">
        <v>1</v>
      </c>
    </row>
    <row r="23" spans="1:22" ht="45" x14ac:dyDescent="0.25">
      <c r="A23" s="3" t="s">
        <v>22</v>
      </c>
      <c r="B23" s="3">
        <v>4</v>
      </c>
      <c r="C23" s="4" t="s">
        <v>23</v>
      </c>
      <c r="D23" s="4" t="s">
        <v>112</v>
      </c>
      <c r="E23" s="3" t="s">
        <v>144</v>
      </c>
      <c r="F23" s="4" t="s">
        <v>145</v>
      </c>
      <c r="G23" s="5">
        <v>10</v>
      </c>
      <c r="H23" s="4" t="s">
        <v>115</v>
      </c>
      <c r="I23" s="6" t="s">
        <v>28</v>
      </c>
      <c r="J23" s="7">
        <v>0</v>
      </c>
      <c r="K23" s="8">
        <v>0</v>
      </c>
      <c r="L23" s="9" t="s">
        <v>544</v>
      </c>
      <c r="M23" s="9" t="s">
        <v>545</v>
      </c>
      <c r="N23" s="9" t="s">
        <v>30</v>
      </c>
      <c r="O23" s="9" t="s">
        <v>546</v>
      </c>
      <c r="P23" s="9" t="s">
        <v>547</v>
      </c>
      <c r="Q23" s="10">
        <v>17916</v>
      </c>
      <c r="R23" s="10">
        <v>1404</v>
      </c>
      <c r="S23" s="11">
        <v>538.95000000000005</v>
      </c>
      <c r="T23" s="3" t="b">
        <v>1</v>
      </c>
      <c r="U23" s="3" t="b">
        <v>0</v>
      </c>
      <c r="V23" s="3" t="b">
        <v>1</v>
      </c>
    </row>
    <row r="24" spans="1:22" ht="45" x14ac:dyDescent="0.25">
      <c r="A24" s="3" t="s">
        <v>22</v>
      </c>
      <c r="B24" s="3">
        <v>4</v>
      </c>
      <c r="C24" s="4" t="s">
        <v>23</v>
      </c>
      <c r="D24" s="4" t="s">
        <v>150</v>
      </c>
      <c r="E24" s="3" t="s">
        <v>151</v>
      </c>
      <c r="F24" s="4" t="s">
        <v>152</v>
      </c>
      <c r="G24" s="5">
        <v>26</v>
      </c>
      <c r="H24" s="4" t="s">
        <v>27</v>
      </c>
      <c r="I24" s="6" t="s">
        <v>35</v>
      </c>
      <c r="J24" s="7">
        <v>2</v>
      </c>
      <c r="K24" s="8">
        <v>7.7</v>
      </c>
      <c r="L24" s="9" t="s">
        <v>153</v>
      </c>
      <c r="M24" s="9" t="s">
        <v>154</v>
      </c>
      <c r="N24" s="9" t="s">
        <v>48</v>
      </c>
      <c r="O24" s="9" t="s">
        <v>155</v>
      </c>
      <c r="P24" s="9" t="s">
        <v>156</v>
      </c>
      <c r="Q24" s="10">
        <v>17220</v>
      </c>
      <c r="R24" s="10">
        <v>2438</v>
      </c>
      <c r="S24" s="11">
        <v>865.47</v>
      </c>
      <c r="T24" s="3" t="b">
        <v>1</v>
      </c>
      <c r="U24" s="3" t="b">
        <v>0</v>
      </c>
      <c r="V24" s="3" t="b">
        <v>1</v>
      </c>
    </row>
    <row r="25" spans="1:22" ht="45" x14ac:dyDescent="0.25">
      <c r="A25" s="3" t="s">
        <v>22</v>
      </c>
      <c r="B25" s="3">
        <v>4</v>
      </c>
      <c r="C25" s="4" t="s">
        <v>23</v>
      </c>
      <c r="D25" s="4" t="s">
        <v>150</v>
      </c>
      <c r="E25" s="3" t="s">
        <v>157</v>
      </c>
      <c r="F25" s="4" t="s">
        <v>158</v>
      </c>
      <c r="G25" s="5">
        <v>20</v>
      </c>
      <c r="H25" s="4" t="s">
        <v>27</v>
      </c>
      <c r="I25" s="6" t="s">
        <v>35</v>
      </c>
      <c r="J25" s="7">
        <v>2</v>
      </c>
      <c r="K25" s="8">
        <v>10</v>
      </c>
      <c r="L25" s="9" t="s">
        <v>548</v>
      </c>
      <c r="M25" s="9" t="s">
        <v>160</v>
      </c>
      <c r="N25" s="9" t="s">
        <v>48</v>
      </c>
      <c r="O25" s="9" t="s">
        <v>161</v>
      </c>
      <c r="P25" s="9" t="s">
        <v>162</v>
      </c>
      <c r="Q25" s="10">
        <v>17220</v>
      </c>
      <c r="R25" s="10">
        <v>2438</v>
      </c>
      <c r="S25" s="11">
        <v>865.47</v>
      </c>
      <c r="T25" s="3" t="b">
        <v>1</v>
      </c>
      <c r="U25" s="3" t="b">
        <v>0</v>
      </c>
      <c r="V25" s="3" t="b">
        <v>1</v>
      </c>
    </row>
    <row r="26" spans="1:22" ht="45" x14ac:dyDescent="0.25">
      <c r="A26" s="3" t="s">
        <v>22</v>
      </c>
      <c r="B26" s="3">
        <v>4</v>
      </c>
      <c r="C26" s="4" t="s">
        <v>23</v>
      </c>
      <c r="D26" s="4" t="s">
        <v>150</v>
      </c>
      <c r="E26" s="3" t="s">
        <v>163</v>
      </c>
      <c r="F26" s="4" t="s">
        <v>164</v>
      </c>
      <c r="G26" s="5">
        <v>14</v>
      </c>
      <c r="H26" s="4" t="s">
        <v>27</v>
      </c>
      <c r="I26" s="6" t="s">
        <v>35</v>
      </c>
      <c r="J26" s="7">
        <v>2</v>
      </c>
      <c r="K26" s="8">
        <v>14.3</v>
      </c>
      <c r="L26" s="9" t="s">
        <v>353</v>
      </c>
      <c r="M26" s="9" t="s">
        <v>549</v>
      </c>
      <c r="N26" s="9" t="s">
        <v>48</v>
      </c>
      <c r="O26" s="9" t="s">
        <v>550</v>
      </c>
      <c r="P26" s="9" t="s">
        <v>551</v>
      </c>
      <c r="Q26" s="10">
        <v>17220</v>
      </c>
      <c r="R26" s="10">
        <v>2438</v>
      </c>
      <c r="S26" s="11">
        <v>865.47</v>
      </c>
      <c r="T26" s="3" t="b">
        <v>1</v>
      </c>
      <c r="U26" s="3" t="b">
        <v>0</v>
      </c>
      <c r="V26" s="3" t="b">
        <v>1</v>
      </c>
    </row>
    <row r="27" spans="1:22" ht="45" x14ac:dyDescent="0.25">
      <c r="A27" s="3" t="s">
        <v>22</v>
      </c>
      <c r="B27" s="3">
        <v>4</v>
      </c>
      <c r="C27" s="4" t="s">
        <v>23</v>
      </c>
      <c r="D27" s="4" t="s">
        <v>150</v>
      </c>
      <c r="E27" s="3" t="s">
        <v>169</v>
      </c>
      <c r="F27" s="4" t="s">
        <v>170</v>
      </c>
      <c r="G27" s="5">
        <v>12</v>
      </c>
      <c r="H27" s="4" t="s">
        <v>27</v>
      </c>
      <c r="I27" s="6" t="s">
        <v>35</v>
      </c>
      <c r="J27" s="7">
        <v>1</v>
      </c>
      <c r="K27" s="8">
        <v>8.3000000000000007</v>
      </c>
      <c r="L27" s="9" t="s">
        <v>552</v>
      </c>
      <c r="M27" s="9" t="s">
        <v>553</v>
      </c>
      <c r="N27" s="9" t="s">
        <v>48</v>
      </c>
      <c r="O27" s="9" t="s">
        <v>554</v>
      </c>
      <c r="P27" s="9" t="s">
        <v>555</v>
      </c>
      <c r="Q27" s="10">
        <v>17220</v>
      </c>
      <c r="R27" s="10">
        <v>2438</v>
      </c>
      <c r="S27" s="11">
        <v>865.47</v>
      </c>
      <c r="T27" s="3" t="b">
        <v>1</v>
      </c>
      <c r="U27" s="3" t="b">
        <v>0</v>
      </c>
      <c r="V27" s="3" t="b">
        <v>1</v>
      </c>
    </row>
    <row r="28" spans="1:22" ht="45" x14ac:dyDescent="0.25">
      <c r="A28" s="3" t="s">
        <v>22</v>
      </c>
      <c r="B28" s="3">
        <v>4</v>
      </c>
      <c r="C28" s="4" t="s">
        <v>23</v>
      </c>
      <c r="D28" s="4" t="s">
        <v>150</v>
      </c>
      <c r="E28" s="3" t="s">
        <v>175</v>
      </c>
      <c r="F28" s="4" t="s">
        <v>176</v>
      </c>
      <c r="G28" s="5">
        <v>12</v>
      </c>
      <c r="H28" s="4" t="s">
        <v>27</v>
      </c>
      <c r="I28" s="6" t="s">
        <v>35</v>
      </c>
      <c r="J28" s="7">
        <v>1</v>
      </c>
      <c r="K28" s="8">
        <v>8.3000000000000007</v>
      </c>
      <c r="L28" s="9" t="s">
        <v>361</v>
      </c>
      <c r="M28" s="9" t="s">
        <v>178</v>
      </c>
      <c r="N28" s="9" t="s">
        <v>48</v>
      </c>
      <c r="O28" s="9" t="s">
        <v>556</v>
      </c>
      <c r="P28" s="9" t="s">
        <v>180</v>
      </c>
      <c r="Q28" s="10">
        <v>17220</v>
      </c>
      <c r="R28" s="10">
        <v>2438</v>
      </c>
      <c r="S28" s="11">
        <v>865.47</v>
      </c>
      <c r="T28" s="3" t="b">
        <v>1</v>
      </c>
      <c r="U28" s="3" t="b">
        <v>0</v>
      </c>
      <c r="V28" s="3" t="b">
        <v>1</v>
      </c>
    </row>
    <row r="29" spans="1:22" ht="45" x14ac:dyDescent="0.25">
      <c r="A29" s="3" t="s">
        <v>22</v>
      </c>
      <c r="B29" s="3">
        <v>4</v>
      </c>
      <c r="C29" s="4" t="s">
        <v>23</v>
      </c>
      <c r="D29" s="4" t="s">
        <v>150</v>
      </c>
      <c r="E29" s="3" t="s">
        <v>181</v>
      </c>
      <c r="F29" s="4" t="s">
        <v>182</v>
      </c>
      <c r="G29" s="5">
        <v>8</v>
      </c>
      <c r="H29" s="4" t="s">
        <v>27</v>
      </c>
      <c r="I29" s="6" t="s">
        <v>35</v>
      </c>
      <c r="J29" s="7">
        <v>1</v>
      </c>
      <c r="K29" s="8">
        <v>12.5</v>
      </c>
      <c r="L29" s="9" t="s">
        <v>365</v>
      </c>
      <c r="M29" s="9" t="s">
        <v>557</v>
      </c>
      <c r="N29" s="9" t="s">
        <v>48</v>
      </c>
      <c r="O29" s="9" t="s">
        <v>558</v>
      </c>
      <c r="P29" s="9" t="s">
        <v>559</v>
      </c>
      <c r="Q29" s="10">
        <v>17220</v>
      </c>
      <c r="R29" s="10">
        <v>2438</v>
      </c>
      <c r="S29" s="11">
        <v>865.47</v>
      </c>
      <c r="T29" s="3" t="b">
        <v>1</v>
      </c>
      <c r="U29" s="3" t="b">
        <v>0</v>
      </c>
      <c r="V29" s="3" t="b">
        <v>1</v>
      </c>
    </row>
    <row r="30" spans="1:22" ht="45" x14ac:dyDescent="0.25">
      <c r="A30" s="3" t="s">
        <v>22</v>
      </c>
      <c r="B30" s="3">
        <v>4</v>
      </c>
      <c r="C30" s="4" t="s">
        <v>23</v>
      </c>
      <c r="D30" s="4" t="s">
        <v>150</v>
      </c>
      <c r="E30" s="3" t="s">
        <v>187</v>
      </c>
      <c r="F30" s="4" t="s">
        <v>188</v>
      </c>
      <c r="G30" s="5">
        <v>14</v>
      </c>
      <c r="H30" s="4" t="s">
        <v>27</v>
      </c>
      <c r="I30" s="6" t="s">
        <v>35</v>
      </c>
      <c r="J30" s="7">
        <v>1</v>
      </c>
      <c r="K30" s="8">
        <v>7.1</v>
      </c>
      <c r="L30" s="9" t="s">
        <v>560</v>
      </c>
      <c r="M30" s="9" t="s">
        <v>561</v>
      </c>
      <c r="N30" s="9" t="s">
        <v>48</v>
      </c>
      <c r="O30" s="9" t="s">
        <v>562</v>
      </c>
      <c r="P30" s="9" t="s">
        <v>563</v>
      </c>
      <c r="Q30" s="10">
        <v>17220</v>
      </c>
      <c r="R30" s="10">
        <v>2438</v>
      </c>
      <c r="S30" s="11">
        <v>865.47</v>
      </c>
      <c r="T30" s="3" t="b">
        <v>1</v>
      </c>
      <c r="U30" s="3" t="b">
        <v>0</v>
      </c>
      <c r="V30" s="3" t="b">
        <v>1</v>
      </c>
    </row>
    <row r="31" spans="1:22" ht="45" x14ac:dyDescent="0.25">
      <c r="A31" s="3" t="s">
        <v>22</v>
      </c>
      <c r="B31" s="3">
        <v>4</v>
      </c>
      <c r="C31" s="4" t="s">
        <v>23</v>
      </c>
      <c r="D31" s="4" t="s">
        <v>150</v>
      </c>
      <c r="E31" s="3" t="s">
        <v>193</v>
      </c>
      <c r="F31" s="4" t="s">
        <v>194</v>
      </c>
      <c r="G31" s="5">
        <v>16</v>
      </c>
      <c r="H31" s="4" t="s">
        <v>27</v>
      </c>
      <c r="I31" s="6" t="s">
        <v>35</v>
      </c>
      <c r="J31" s="7">
        <v>5</v>
      </c>
      <c r="K31" s="8">
        <v>31.2</v>
      </c>
      <c r="L31" s="9" t="s">
        <v>564</v>
      </c>
      <c r="M31" s="9" t="s">
        <v>565</v>
      </c>
      <c r="N31" s="9" t="s">
        <v>48</v>
      </c>
      <c r="O31" s="9" t="s">
        <v>566</v>
      </c>
      <c r="P31" s="9" t="s">
        <v>567</v>
      </c>
      <c r="Q31" s="10">
        <v>17220</v>
      </c>
      <c r="R31" s="10">
        <v>2438</v>
      </c>
      <c r="S31" s="11">
        <v>865.47</v>
      </c>
      <c r="T31" s="3" t="b">
        <v>1</v>
      </c>
      <c r="U31" s="3" t="b">
        <v>0</v>
      </c>
      <c r="V31" s="3" t="b">
        <v>1</v>
      </c>
    </row>
    <row r="32" spans="1:22" ht="45" x14ac:dyDescent="0.25">
      <c r="A32" s="3" t="s">
        <v>22</v>
      </c>
      <c r="B32" s="3">
        <v>4</v>
      </c>
      <c r="C32" s="4" t="s">
        <v>23</v>
      </c>
      <c r="D32" s="4" t="s">
        <v>150</v>
      </c>
      <c r="E32" s="3" t="s">
        <v>199</v>
      </c>
      <c r="F32" s="4" t="s">
        <v>200</v>
      </c>
      <c r="G32" s="5">
        <v>14</v>
      </c>
      <c r="H32" s="4" t="s">
        <v>27</v>
      </c>
      <c r="I32" s="6" t="s">
        <v>35</v>
      </c>
      <c r="J32" s="7">
        <v>1</v>
      </c>
      <c r="K32" s="8">
        <v>7.1</v>
      </c>
      <c r="L32" s="9" t="s">
        <v>568</v>
      </c>
      <c r="M32" s="9" t="s">
        <v>569</v>
      </c>
      <c r="N32" s="9" t="s">
        <v>48</v>
      </c>
      <c r="O32" s="9" t="s">
        <v>570</v>
      </c>
      <c r="P32" s="9" t="s">
        <v>571</v>
      </c>
      <c r="Q32" s="10">
        <v>17220</v>
      </c>
      <c r="R32" s="10">
        <v>2438</v>
      </c>
      <c r="S32" s="11">
        <v>865.47</v>
      </c>
      <c r="T32" s="3" t="b">
        <v>1</v>
      </c>
      <c r="U32" s="3" t="b">
        <v>0</v>
      </c>
      <c r="V32" s="3" t="b">
        <v>1</v>
      </c>
    </row>
    <row r="33" spans="1:22" ht="45" x14ac:dyDescent="0.25">
      <c r="A33" s="3" t="s">
        <v>22</v>
      </c>
      <c r="B33" s="3">
        <v>4</v>
      </c>
      <c r="C33" s="4" t="s">
        <v>23</v>
      </c>
      <c r="D33" s="4" t="s">
        <v>150</v>
      </c>
      <c r="E33" s="3" t="s">
        <v>205</v>
      </c>
      <c r="F33" s="4" t="s">
        <v>206</v>
      </c>
      <c r="G33" s="5">
        <v>18</v>
      </c>
      <c r="H33" s="4" t="s">
        <v>27</v>
      </c>
      <c r="I33" s="6" t="s">
        <v>35</v>
      </c>
      <c r="J33" s="7">
        <v>3</v>
      </c>
      <c r="K33" s="8">
        <v>16.7</v>
      </c>
      <c r="L33" s="9" t="s">
        <v>572</v>
      </c>
      <c r="M33" s="9" t="s">
        <v>573</v>
      </c>
      <c r="N33" s="9" t="s">
        <v>48</v>
      </c>
      <c r="O33" s="9" t="s">
        <v>574</v>
      </c>
      <c r="P33" s="9" t="s">
        <v>575</v>
      </c>
      <c r="Q33" s="10">
        <v>17220</v>
      </c>
      <c r="R33" s="10">
        <v>2438</v>
      </c>
      <c r="S33" s="11">
        <v>865.47</v>
      </c>
      <c r="T33" s="3" t="b">
        <v>1</v>
      </c>
      <c r="U33" s="3" t="b">
        <v>0</v>
      </c>
      <c r="V33" s="3" t="b">
        <v>1</v>
      </c>
    </row>
    <row r="34" spans="1:22" ht="45" x14ac:dyDescent="0.25">
      <c r="A34" s="3" t="s">
        <v>22</v>
      </c>
      <c r="B34" s="3">
        <v>4</v>
      </c>
      <c r="C34" s="4" t="s">
        <v>23</v>
      </c>
      <c r="D34" s="4" t="s">
        <v>150</v>
      </c>
      <c r="E34" s="3" t="s">
        <v>211</v>
      </c>
      <c r="F34" s="4" t="s">
        <v>212</v>
      </c>
      <c r="G34" s="5">
        <v>18</v>
      </c>
      <c r="H34" s="4" t="s">
        <v>213</v>
      </c>
      <c r="I34" s="6"/>
      <c r="J34" s="7">
        <v>0</v>
      </c>
      <c r="K34" s="8">
        <v>0</v>
      </c>
      <c r="L34" s="9" t="s">
        <v>214</v>
      </c>
      <c r="M34" s="9"/>
      <c r="N34" s="9"/>
      <c r="O34" s="9"/>
      <c r="P34" s="9"/>
      <c r="Q34" s="10">
        <v>17220</v>
      </c>
      <c r="R34" s="10">
        <v>2438</v>
      </c>
      <c r="S34" s="11">
        <v>865.47</v>
      </c>
      <c r="T34" s="3" t="b">
        <v>1</v>
      </c>
      <c r="U34" s="3" t="b">
        <v>0</v>
      </c>
      <c r="V34" s="3" t="b">
        <v>1</v>
      </c>
    </row>
    <row r="35" spans="1:22" ht="45" x14ac:dyDescent="0.25">
      <c r="A35" s="3" t="s">
        <v>22</v>
      </c>
      <c r="B35" s="3">
        <v>4</v>
      </c>
      <c r="C35" s="4" t="s">
        <v>23</v>
      </c>
      <c r="D35" s="4" t="s">
        <v>150</v>
      </c>
      <c r="E35" s="3" t="s">
        <v>215</v>
      </c>
      <c r="F35" s="4" t="s">
        <v>216</v>
      </c>
      <c r="G35" s="5">
        <v>14</v>
      </c>
      <c r="H35" s="4" t="s">
        <v>27</v>
      </c>
      <c r="I35" s="6" t="s">
        <v>35</v>
      </c>
      <c r="J35" s="7">
        <v>1</v>
      </c>
      <c r="K35" s="8">
        <v>7.1</v>
      </c>
      <c r="L35" s="9" t="s">
        <v>576</v>
      </c>
      <c r="M35" s="9" t="s">
        <v>577</v>
      </c>
      <c r="N35" s="9" t="s">
        <v>48</v>
      </c>
      <c r="O35" s="9" t="s">
        <v>578</v>
      </c>
      <c r="P35" s="9" t="s">
        <v>579</v>
      </c>
      <c r="Q35" s="10">
        <v>17220</v>
      </c>
      <c r="R35" s="10">
        <v>2438</v>
      </c>
      <c r="S35" s="11">
        <v>865.47</v>
      </c>
      <c r="T35" s="3" t="b">
        <v>1</v>
      </c>
      <c r="U35" s="3" t="b">
        <v>0</v>
      </c>
      <c r="V35" s="3" t="b">
        <v>1</v>
      </c>
    </row>
    <row r="36" spans="1:22" ht="45" x14ac:dyDescent="0.25">
      <c r="A36" s="3" t="s">
        <v>22</v>
      </c>
      <c r="B36" s="3">
        <v>4</v>
      </c>
      <c r="C36" s="4" t="s">
        <v>23</v>
      </c>
      <c r="D36" s="4" t="s">
        <v>221</v>
      </c>
      <c r="E36" s="3" t="s">
        <v>222</v>
      </c>
      <c r="F36" s="4" t="s">
        <v>223</v>
      </c>
      <c r="G36" s="5">
        <v>12</v>
      </c>
      <c r="H36" s="4" t="s">
        <v>27</v>
      </c>
      <c r="I36" s="6" t="s">
        <v>28</v>
      </c>
      <c r="J36" s="7">
        <v>0</v>
      </c>
      <c r="K36" s="8">
        <v>0</v>
      </c>
      <c r="L36" s="9"/>
      <c r="M36" s="9" t="s">
        <v>580</v>
      </c>
      <c r="N36" s="9" t="s">
        <v>30</v>
      </c>
      <c r="O36" s="9" t="s">
        <v>581</v>
      </c>
      <c r="P36" s="9" t="s">
        <v>582</v>
      </c>
      <c r="Q36" s="10">
        <v>17210</v>
      </c>
      <c r="R36" s="10">
        <v>2585</v>
      </c>
      <c r="S36" s="11">
        <v>772.29</v>
      </c>
      <c r="T36" s="3" t="b">
        <v>1</v>
      </c>
      <c r="U36" s="3" t="b">
        <v>0</v>
      </c>
      <c r="V36" s="3" t="b">
        <v>1</v>
      </c>
    </row>
    <row r="37" spans="1:22" ht="45" x14ac:dyDescent="0.25">
      <c r="A37" s="3" t="s">
        <v>22</v>
      </c>
      <c r="B37" s="3">
        <v>4</v>
      </c>
      <c r="C37" s="4" t="s">
        <v>23</v>
      </c>
      <c r="D37" s="4" t="s">
        <v>221</v>
      </c>
      <c r="E37" s="3" t="s">
        <v>227</v>
      </c>
      <c r="F37" s="4" t="s">
        <v>228</v>
      </c>
      <c r="G37" s="5">
        <v>10</v>
      </c>
      <c r="H37" s="4" t="s">
        <v>27</v>
      </c>
      <c r="I37" s="6" t="s">
        <v>28</v>
      </c>
      <c r="J37" s="7">
        <v>0</v>
      </c>
      <c r="K37" s="8">
        <v>0</v>
      </c>
      <c r="L37" s="9"/>
      <c r="M37" s="9" t="s">
        <v>583</v>
      </c>
      <c r="N37" s="9" t="s">
        <v>30</v>
      </c>
      <c r="O37" s="9" t="s">
        <v>584</v>
      </c>
      <c r="P37" s="9" t="s">
        <v>585</v>
      </c>
      <c r="Q37" s="10">
        <v>17210</v>
      </c>
      <c r="R37" s="10">
        <v>2585</v>
      </c>
      <c r="S37" s="11">
        <v>772.29</v>
      </c>
      <c r="T37" s="3" t="b">
        <v>1</v>
      </c>
      <c r="U37" s="3" t="b">
        <v>0</v>
      </c>
      <c r="V37" s="3" t="b">
        <v>1</v>
      </c>
    </row>
    <row r="38" spans="1:22" ht="45" x14ac:dyDescent="0.25">
      <c r="A38" s="3" t="s">
        <v>22</v>
      </c>
      <c r="B38" s="3">
        <v>4</v>
      </c>
      <c r="C38" s="4" t="s">
        <v>23</v>
      </c>
      <c r="D38" s="4" t="s">
        <v>221</v>
      </c>
      <c r="E38" s="3" t="s">
        <v>232</v>
      </c>
      <c r="F38" s="4" t="s">
        <v>233</v>
      </c>
      <c r="G38" s="5">
        <v>8</v>
      </c>
      <c r="H38" s="4" t="s">
        <v>27</v>
      </c>
      <c r="I38" s="6" t="s">
        <v>28</v>
      </c>
      <c r="J38" s="7">
        <v>0</v>
      </c>
      <c r="K38" s="8">
        <v>0</v>
      </c>
      <c r="L38" s="9"/>
      <c r="M38" s="9" t="s">
        <v>586</v>
      </c>
      <c r="N38" s="9" t="s">
        <v>30</v>
      </c>
      <c r="O38" s="9" t="s">
        <v>587</v>
      </c>
      <c r="P38" s="9" t="s">
        <v>588</v>
      </c>
      <c r="Q38" s="10">
        <v>17210</v>
      </c>
      <c r="R38" s="10">
        <v>2585</v>
      </c>
      <c r="S38" s="11">
        <v>772.29</v>
      </c>
      <c r="T38" s="3" t="b">
        <v>1</v>
      </c>
      <c r="U38" s="3" t="b">
        <v>0</v>
      </c>
      <c r="V38" s="3" t="b">
        <v>1</v>
      </c>
    </row>
    <row r="39" spans="1:22" ht="45" x14ac:dyDescent="0.25">
      <c r="A39" s="3" t="s">
        <v>22</v>
      </c>
      <c r="B39" s="3">
        <v>4</v>
      </c>
      <c r="C39" s="4" t="s">
        <v>23</v>
      </c>
      <c r="D39" s="4" t="s">
        <v>221</v>
      </c>
      <c r="E39" s="3" t="s">
        <v>237</v>
      </c>
      <c r="F39" s="4" t="s">
        <v>238</v>
      </c>
      <c r="G39" s="5">
        <v>10</v>
      </c>
      <c r="H39" s="4" t="s">
        <v>27</v>
      </c>
      <c r="I39" s="6" t="s">
        <v>28</v>
      </c>
      <c r="J39" s="7">
        <v>0</v>
      </c>
      <c r="K39" s="8">
        <v>0</v>
      </c>
      <c r="L39" s="9"/>
      <c r="M39" s="9" t="s">
        <v>589</v>
      </c>
      <c r="N39" s="9" t="s">
        <v>30</v>
      </c>
      <c r="O39" s="9" t="s">
        <v>590</v>
      </c>
      <c r="P39" s="9" t="s">
        <v>591</v>
      </c>
      <c r="Q39" s="10">
        <v>17210</v>
      </c>
      <c r="R39" s="10">
        <v>2585</v>
      </c>
      <c r="S39" s="11">
        <v>772.29</v>
      </c>
      <c r="T39" s="3" t="b">
        <v>1</v>
      </c>
      <c r="U39" s="3" t="b">
        <v>0</v>
      </c>
      <c r="V39" s="3" t="b">
        <v>1</v>
      </c>
    </row>
    <row r="40" spans="1:22" ht="45" x14ac:dyDescent="0.25">
      <c r="A40" s="3" t="s">
        <v>22</v>
      </c>
      <c r="B40" s="3">
        <v>4</v>
      </c>
      <c r="C40" s="4" t="s">
        <v>23</v>
      </c>
      <c r="D40" s="4" t="s">
        <v>221</v>
      </c>
      <c r="E40" s="3" t="s">
        <v>242</v>
      </c>
      <c r="F40" s="4" t="s">
        <v>243</v>
      </c>
      <c r="G40" s="5">
        <v>6</v>
      </c>
      <c r="H40" s="4" t="s">
        <v>27</v>
      </c>
      <c r="I40" s="6" t="s">
        <v>28</v>
      </c>
      <c r="J40" s="7">
        <v>0</v>
      </c>
      <c r="K40" s="8">
        <v>0</v>
      </c>
      <c r="L40" s="9"/>
      <c r="M40" s="9" t="s">
        <v>592</v>
      </c>
      <c r="N40" s="9" t="s">
        <v>30</v>
      </c>
      <c r="O40" s="9" t="s">
        <v>593</v>
      </c>
      <c r="P40" s="9" t="s">
        <v>594</v>
      </c>
      <c r="Q40" s="10">
        <v>17210</v>
      </c>
      <c r="R40" s="10">
        <v>2585</v>
      </c>
      <c r="S40" s="11">
        <v>772.29</v>
      </c>
      <c r="T40" s="3" t="b">
        <v>1</v>
      </c>
      <c r="U40" s="3" t="b">
        <v>0</v>
      </c>
      <c r="V40" s="3" t="b">
        <v>1</v>
      </c>
    </row>
    <row r="41" spans="1:22" ht="45" x14ac:dyDescent="0.25">
      <c r="A41" s="3" t="s">
        <v>22</v>
      </c>
      <c r="B41" s="3">
        <v>4</v>
      </c>
      <c r="C41" s="4" t="s">
        <v>23</v>
      </c>
      <c r="D41" s="4" t="s">
        <v>221</v>
      </c>
      <c r="E41" s="3" t="s">
        <v>247</v>
      </c>
      <c r="F41" s="4" t="s">
        <v>248</v>
      </c>
      <c r="G41" s="5">
        <v>20</v>
      </c>
      <c r="H41" s="4" t="s">
        <v>27</v>
      </c>
      <c r="I41" s="6" t="s">
        <v>28</v>
      </c>
      <c r="J41" s="7">
        <v>0</v>
      </c>
      <c r="K41" s="8">
        <v>0</v>
      </c>
      <c r="L41" s="9"/>
      <c r="M41" s="9" t="s">
        <v>595</v>
      </c>
      <c r="N41" s="9" t="s">
        <v>30</v>
      </c>
      <c r="O41" s="9" t="s">
        <v>596</v>
      </c>
      <c r="P41" s="9" t="s">
        <v>597</v>
      </c>
      <c r="Q41" s="10">
        <v>17210</v>
      </c>
      <c r="R41" s="10">
        <v>2585</v>
      </c>
      <c r="S41" s="11">
        <v>772.29</v>
      </c>
      <c r="T41" s="3" t="b">
        <v>1</v>
      </c>
      <c r="U41" s="3" t="b">
        <v>0</v>
      </c>
      <c r="V41" s="3" t="b">
        <v>1</v>
      </c>
    </row>
    <row r="42" spans="1:22" ht="45" x14ac:dyDescent="0.25">
      <c r="A42" s="3" t="s">
        <v>22</v>
      </c>
      <c r="B42" s="3">
        <v>4</v>
      </c>
      <c r="C42" s="4" t="s">
        <v>23</v>
      </c>
      <c r="D42" s="4" t="s">
        <v>221</v>
      </c>
      <c r="E42" s="3" t="s">
        <v>252</v>
      </c>
      <c r="F42" s="4" t="s">
        <v>253</v>
      </c>
      <c r="G42" s="5">
        <v>12</v>
      </c>
      <c r="H42" s="4" t="s">
        <v>27</v>
      </c>
      <c r="I42" s="6" t="s">
        <v>28</v>
      </c>
      <c r="J42" s="7">
        <v>0</v>
      </c>
      <c r="K42" s="8">
        <v>0</v>
      </c>
      <c r="L42" s="9"/>
      <c r="M42" s="9" t="s">
        <v>598</v>
      </c>
      <c r="N42" s="9" t="s">
        <v>30</v>
      </c>
      <c r="O42" s="9" t="s">
        <v>599</v>
      </c>
      <c r="P42" s="9" t="s">
        <v>600</v>
      </c>
      <c r="Q42" s="10">
        <v>17210</v>
      </c>
      <c r="R42" s="10">
        <v>2585</v>
      </c>
      <c r="S42" s="11">
        <v>772.29</v>
      </c>
      <c r="T42" s="3" t="b">
        <v>1</v>
      </c>
      <c r="U42" s="3" t="b">
        <v>0</v>
      </c>
      <c r="V42" s="3" t="b">
        <v>1</v>
      </c>
    </row>
    <row r="43" spans="1:22" ht="45" x14ac:dyDescent="0.25">
      <c r="A43" s="3" t="s">
        <v>22</v>
      </c>
      <c r="B43" s="3">
        <v>4</v>
      </c>
      <c r="C43" s="4" t="s">
        <v>23</v>
      </c>
      <c r="D43" s="4" t="s">
        <v>221</v>
      </c>
      <c r="E43" s="3" t="s">
        <v>257</v>
      </c>
      <c r="F43" s="4" t="s">
        <v>258</v>
      </c>
      <c r="G43" s="5">
        <v>10</v>
      </c>
      <c r="H43" s="4" t="s">
        <v>27</v>
      </c>
      <c r="I43" s="6" t="s">
        <v>28</v>
      </c>
      <c r="J43" s="7">
        <v>0</v>
      </c>
      <c r="K43" s="8">
        <v>0</v>
      </c>
      <c r="L43" s="9"/>
      <c r="M43" s="9" t="s">
        <v>601</v>
      </c>
      <c r="N43" s="9" t="s">
        <v>30</v>
      </c>
      <c r="O43" s="9" t="s">
        <v>602</v>
      </c>
      <c r="P43" s="9" t="s">
        <v>603</v>
      </c>
      <c r="Q43" s="10">
        <v>17210</v>
      </c>
      <c r="R43" s="10">
        <v>2585</v>
      </c>
      <c r="S43" s="11">
        <v>772.29</v>
      </c>
      <c r="T43" s="3" t="b">
        <v>1</v>
      </c>
      <c r="U43" s="3" t="b">
        <v>0</v>
      </c>
      <c r="V43" s="3" t="b">
        <v>1</v>
      </c>
    </row>
    <row r="44" spans="1:22" ht="45" x14ac:dyDescent="0.25">
      <c r="A44" s="3" t="s">
        <v>22</v>
      </c>
      <c r="B44" s="3">
        <v>4</v>
      </c>
      <c r="C44" s="4" t="s">
        <v>23</v>
      </c>
      <c r="D44" s="4" t="s">
        <v>221</v>
      </c>
      <c r="E44" s="3" t="s">
        <v>262</v>
      </c>
      <c r="F44" s="4" t="s">
        <v>263</v>
      </c>
      <c r="G44" s="5">
        <v>8</v>
      </c>
      <c r="H44" s="4" t="s">
        <v>27</v>
      </c>
      <c r="I44" s="6" t="s">
        <v>28</v>
      </c>
      <c r="J44" s="7">
        <v>0</v>
      </c>
      <c r="K44" s="8">
        <v>0</v>
      </c>
      <c r="L44" s="9"/>
      <c r="M44" s="9" t="s">
        <v>604</v>
      </c>
      <c r="N44" s="9" t="s">
        <v>30</v>
      </c>
      <c r="O44" s="9" t="s">
        <v>605</v>
      </c>
      <c r="P44" s="9" t="s">
        <v>606</v>
      </c>
      <c r="Q44" s="10">
        <v>17210</v>
      </c>
      <c r="R44" s="10">
        <v>2585</v>
      </c>
      <c r="S44" s="11">
        <v>772.29</v>
      </c>
      <c r="T44" s="3" t="b">
        <v>1</v>
      </c>
      <c r="U44" s="3" t="b">
        <v>0</v>
      </c>
      <c r="V44" s="3" t="b">
        <v>1</v>
      </c>
    </row>
    <row r="45" spans="1:22" ht="45" x14ac:dyDescent="0.25">
      <c r="A45" s="3" t="s">
        <v>22</v>
      </c>
      <c r="B45" s="3">
        <v>4</v>
      </c>
      <c r="C45" s="4" t="s">
        <v>23</v>
      </c>
      <c r="D45" s="4" t="s">
        <v>221</v>
      </c>
      <c r="E45" s="3" t="s">
        <v>267</v>
      </c>
      <c r="F45" s="4" t="s">
        <v>268</v>
      </c>
      <c r="G45" s="5">
        <v>14</v>
      </c>
      <c r="H45" s="4" t="s">
        <v>27</v>
      </c>
      <c r="I45" s="6" t="s">
        <v>28</v>
      </c>
      <c r="J45" s="7">
        <v>0</v>
      </c>
      <c r="K45" s="8">
        <v>0</v>
      </c>
      <c r="L45" s="9"/>
      <c r="M45" s="9" t="s">
        <v>607</v>
      </c>
      <c r="N45" s="9" t="s">
        <v>30</v>
      </c>
      <c r="O45" s="9" t="s">
        <v>608</v>
      </c>
      <c r="P45" s="9" t="s">
        <v>609</v>
      </c>
      <c r="Q45" s="10">
        <v>17210</v>
      </c>
      <c r="R45" s="10">
        <v>2585</v>
      </c>
      <c r="S45" s="11">
        <v>772.29</v>
      </c>
      <c r="T45" s="3" t="b">
        <v>1</v>
      </c>
      <c r="U45" s="3" t="b">
        <v>0</v>
      </c>
      <c r="V45" s="3" t="b">
        <v>1</v>
      </c>
    </row>
    <row r="46" spans="1:22" ht="45" x14ac:dyDescent="0.25">
      <c r="A46" s="3" t="s">
        <v>22</v>
      </c>
      <c r="B46" s="3">
        <v>4</v>
      </c>
      <c r="C46" s="4" t="s">
        <v>23</v>
      </c>
      <c r="D46" s="4" t="s">
        <v>221</v>
      </c>
      <c r="E46" s="3" t="s">
        <v>272</v>
      </c>
      <c r="F46" s="4" t="s">
        <v>273</v>
      </c>
      <c r="G46" s="5">
        <v>12</v>
      </c>
      <c r="H46" s="4" t="s">
        <v>27</v>
      </c>
      <c r="I46" s="6" t="s">
        <v>28</v>
      </c>
      <c r="J46" s="7">
        <v>0</v>
      </c>
      <c r="K46" s="8">
        <v>0</v>
      </c>
      <c r="L46" s="9"/>
      <c r="M46" s="9" t="s">
        <v>610</v>
      </c>
      <c r="N46" s="9" t="s">
        <v>30</v>
      </c>
      <c r="O46" s="9" t="s">
        <v>611</v>
      </c>
      <c r="P46" s="9" t="s">
        <v>612</v>
      </c>
      <c r="Q46" s="10">
        <v>17210</v>
      </c>
      <c r="R46" s="10">
        <v>2585</v>
      </c>
      <c r="S46" s="11">
        <v>772.29</v>
      </c>
      <c r="T46" s="3" t="b">
        <v>1</v>
      </c>
      <c r="U46" s="3" t="b">
        <v>0</v>
      </c>
      <c r="V46" s="3" t="b">
        <v>1</v>
      </c>
    </row>
    <row r="47" spans="1:22" ht="45" x14ac:dyDescent="0.25">
      <c r="A47" s="3" t="s">
        <v>22</v>
      </c>
      <c r="B47" s="3">
        <v>4</v>
      </c>
      <c r="C47" s="4" t="s">
        <v>23</v>
      </c>
      <c r="D47" s="4" t="s">
        <v>221</v>
      </c>
      <c r="E47" s="3" t="s">
        <v>277</v>
      </c>
      <c r="F47" s="4" t="s">
        <v>278</v>
      </c>
      <c r="G47" s="5">
        <v>8</v>
      </c>
      <c r="H47" s="4" t="s">
        <v>27</v>
      </c>
      <c r="I47" s="6" t="s">
        <v>28</v>
      </c>
      <c r="J47" s="7">
        <v>0</v>
      </c>
      <c r="K47" s="8">
        <v>0</v>
      </c>
      <c r="L47" s="9"/>
      <c r="M47" s="9" t="s">
        <v>613</v>
      </c>
      <c r="N47" s="9" t="s">
        <v>30</v>
      </c>
      <c r="O47" s="9" t="s">
        <v>614</v>
      </c>
      <c r="P47" s="9" t="s">
        <v>615</v>
      </c>
      <c r="Q47" s="10">
        <v>17210</v>
      </c>
      <c r="R47" s="10">
        <v>2585</v>
      </c>
      <c r="S47" s="11">
        <v>772.29</v>
      </c>
      <c r="T47" s="3" t="b">
        <v>1</v>
      </c>
      <c r="U47" s="3" t="b">
        <v>0</v>
      </c>
      <c r="V47" s="3" t="b">
        <v>1</v>
      </c>
    </row>
    <row r="48" spans="1:22" ht="45" x14ac:dyDescent="0.25">
      <c r="A48" s="3" t="s">
        <v>22</v>
      </c>
      <c r="B48" s="3">
        <v>4</v>
      </c>
      <c r="C48" s="4" t="s">
        <v>23</v>
      </c>
      <c r="D48" s="4" t="s">
        <v>221</v>
      </c>
      <c r="E48" s="3" t="s">
        <v>282</v>
      </c>
      <c r="F48" s="4" t="s">
        <v>283</v>
      </c>
      <c r="G48" s="5">
        <v>6</v>
      </c>
      <c r="H48" s="4" t="s">
        <v>27</v>
      </c>
      <c r="I48" s="6" t="s">
        <v>28</v>
      </c>
      <c r="J48" s="7">
        <v>0</v>
      </c>
      <c r="K48" s="8">
        <v>0</v>
      </c>
      <c r="L48" s="9"/>
      <c r="M48" s="9" t="s">
        <v>616</v>
      </c>
      <c r="N48" s="9" t="s">
        <v>30</v>
      </c>
      <c r="O48" s="9" t="s">
        <v>617</v>
      </c>
      <c r="P48" s="9" t="s">
        <v>618</v>
      </c>
      <c r="Q48" s="10">
        <v>17210</v>
      </c>
      <c r="R48" s="10">
        <v>2585</v>
      </c>
      <c r="S48" s="11">
        <v>772.29</v>
      </c>
      <c r="T48" s="3" t="b">
        <v>1</v>
      </c>
      <c r="U48" s="3" t="b">
        <v>0</v>
      </c>
      <c r="V48" s="3" t="b">
        <v>1</v>
      </c>
    </row>
  </sheetData>
  <autoFilter ref="A1:V48" xr:uid="{00000000-0009-0000-0000-000003000000}"/>
  <conditionalFormatting sqref="D2:D48">
    <cfRule type="containsText" dxfId="221" priority="16" operator="containsText" text="Climate And Resilience">
      <formula>NOT(ISERROR(SEARCH("Climate And Resilience",D2)))</formula>
    </cfRule>
    <cfRule type="containsText" dxfId="220" priority="17" operator="containsText" text="Leadership">
      <formula>NOT(ISERROR(SEARCH("Leadership",D2)))</formula>
    </cfRule>
    <cfRule type="containsText" dxfId="219" priority="18" operator="containsText" text="Natural World">
      <formula>NOT(ISERROR(SEARCH("Natural World",D2)))</formula>
    </cfRule>
    <cfRule type="containsText" dxfId="218" priority="19" operator="containsText" text="Quality Of Life">
      <formula>NOT(ISERROR(SEARCH("Quality Of Life",D2)))</formula>
    </cfRule>
    <cfRule type="containsText" dxfId="217" priority="20" operator="containsText" text="Resource Allocation">
      <formula>NOT(ISERROR(SEARCH("Resource Allocation",D2)))</formula>
    </cfRule>
  </conditionalFormatting>
  <conditionalFormatting sqref="G2:G48">
    <cfRule type="dataBar" priority="21">
      <dataBar>
        <cfvo type="min"/>
        <cfvo type="max"/>
        <color rgb="FF5B9BD5"/>
      </dataBar>
    </cfRule>
  </conditionalFormatting>
  <conditionalFormatting sqref="H2:H48">
    <cfRule type="containsText" dxfId="216" priority="8" operator="containsText" text="Not Applicable">
      <formula>NOT(ISERROR(SEARCH("Not Applicable",H2)))</formula>
    </cfRule>
    <cfRule type="containsText" dxfId="215" priority="9" operator="containsText" text="Applicable">
      <formula>NOT(ISERROR(SEARCH("Applicable",H2)))</formula>
    </cfRule>
  </conditionalFormatting>
  <conditionalFormatting sqref="I2:I48">
    <cfRule type="containsText" dxfId="214" priority="2" operator="containsText" text="No Level">
      <formula>NOT(ISERROR(SEARCH("No Level",I2)))</formula>
    </cfRule>
    <cfRule type="containsText" dxfId="213" priority="3" operator="containsText" text="Improved">
      <formula>NOT(ISERROR(SEARCH("Improved",I2)))</formula>
    </cfRule>
    <cfRule type="containsText" dxfId="212" priority="4" operator="containsText" text="Enhanced">
      <formula>NOT(ISERROR(SEARCH("Enhanced",I2)))</formula>
    </cfRule>
    <cfRule type="containsText" dxfId="211" priority="5" operator="containsText" text="Superior">
      <formula>NOT(ISERROR(SEARCH("Superior",I2)))</formula>
    </cfRule>
    <cfRule type="containsText" dxfId="210" priority="6" operator="containsText" text="Conserving">
      <formula>NOT(ISERROR(SEARCH("Conserving",I2)))</formula>
    </cfRule>
    <cfRule type="containsText" dxfId="209" priority="7" operator="containsText" text="Restorative">
      <formula>NOT(ISERROR(SEARCH("Restorative",I2)))</formula>
    </cfRule>
  </conditionalFormatting>
  <conditionalFormatting sqref="J2:J48">
    <cfRule type="dataBar" priority="22">
      <dataBar>
        <cfvo type="min"/>
        <cfvo type="max"/>
        <color rgb="FF70AD47"/>
      </dataBar>
    </cfRule>
  </conditionalFormatting>
  <conditionalFormatting sqref="K2:K4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48">
    <cfRule type="dataBar" priority="23">
      <dataBar>
        <cfvo type="min"/>
        <cfvo type="max"/>
        <color rgb="FFA5A5A5"/>
      </dataBar>
    </cfRule>
  </conditionalFormatting>
  <conditionalFormatting sqref="S2:S48">
    <cfRule type="dataBar" priority="24">
      <dataBar>
        <cfvo type="min"/>
        <cfvo type="max"/>
        <color rgb="FFED7D31"/>
      </dataBar>
    </cfRule>
  </conditionalFormatting>
  <conditionalFormatting sqref="T2:T48">
    <cfRule type="cellIs" dxfId="208" priority="10" operator="equal">
      <formula>TRUE</formula>
    </cfRule>
    <cfRule type="cellIs" dxfId="207" priority="11" operator="equal">
      <formula>FALSE</formula>
    </cfRule>
  </conditionalFormatting>
  <conditionalFormatting sqref="U2:U48">
    <cfRule type="cellIs" dxfId="206" priority="12" operator="equal">
      <formula>TRUE</formula>
    </cfRule>
    <cfRule type="cellIs" dxfId="205" priority="13" operator="equal">
      <formula>FALSE</formula>
    </cfRule>
  </conditionalFormatting>
  <conditionalFormatting sqref="V2:V48">
    <cfRule type="cellIs" dxfId="204" priority="14" operator="equal">
      <formula>TRUE</formula>
    </cfRule>
    <cfRule type="cellIs" dxfId="203" priority="15" operator="equal">
      <formula>FALSE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8"/>
  <sheetViews>
    <sheetView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45" x14ac:dyDescent="0.25">
      <c r="A2" s="3" t="s">
        <v>22</v>
      </c>
      <c r="B2" s="3">
        <v>5</v>
      </c>
      <c r="C2" s="4" t="s">
        <v>23</v>
      </c>
      <c r="D2" s="4" t="s">
        <v>24</v>
      </c>
      <c r="E2" s="3" t="s">
        <v>25</v>
      </c>
      <c r="F2" s="4" t="s">
        <v>26</v>
      </c>
      <c r="G2" s="5">
        <v>14</v>
      </c>
      <c r="H2" s="4" t="s">
        <v>115</v>
      </c>
      <c r="I2" s="6" t="s">
        <v>28</v>
      </c>
      <c r="J2" s="7">
        <v>0</v>
      </c>
      <c r="K2" s="8">
        <v>0</v>
      </c>
      <c r="L2" s="9" t="s">
        <v>619</v>
      </c>
      <c r="M2" s="9" t="s">
        <v>620</v>
      </c>
      <c r="N2" s="9" t="s">
        <v>30</v>
      </c>
      <c r="O2" s="9" t="s">
        <v>621</v>
      </c>
      <c r="P2" s="9" t="s">
        <v>290</v>
      </c>
      <c r="Q2" s="10">
        <v>17617</v>
      </c>
      <c r="R2" s="10">
        <v>1741</v>
      </c>
      <c r="S2" s="11">
        <v>515.75</v>
      </c>
      <c r="T2" s="3" t="b">
        <v>1</v>
      </c>
      <c r="U2" s="3" t="b">
        <v>0</v>
      </c>
      <c r="V2" s="3" t="b">
        <v>1</v>
      </c>
    </row>
    <row r="3" spans="1:22" ht="45" x14ac:dyDescent="0.25">
      <c r="A3" s="3" t="s">
        <v>22</v>
      </c>
      <c r="B3" s="3">
        <v>5</v>
      </c>
      <c r="C3" s="4" t="s">
        <v>23</v>
      </c>
      <c r="D3" s="4" t="s">
        <v>24</v>
      </c>
      <c r="E3" s="3" t="s">
        <v>33</v>
      </c>
      <c r="F3" s="4" t="s">
        <v>34</v>
      </c>
      <c r="G3" s="5">
        <v>20</v>
      </c>
      <c r="H3" s="4" t="s">
        <v>115</v>
      </c>
      <c r="I3" s="6" t="s">
        <v>28</v>
      </c>
      <c r="J3" s="7">
        <v>0</v>
      </c>
      <c r="K3" s="8">
        <v>0</v>
      </c>
      <c r="L3" s="9" t="s">
        <v>399</v>
      </c>
      <c r="M3" s="9" t="s">
        <v>622</v>
      </c>
      <c r="N3" s="9" t="s">
        <v>30</v>
      </c>
      <c r="O3" s="9" t="s">
        <v>293</v>
      </c>
      <c r="P3" s="9" t="s">
        <v>294</v>
      </c>
      <c r="Q3" s="10">
        <v>17617</v>
      </c>
      <c r="R3" s="10">
        <v>1741</v>
      </c>
      <c r="S3" s="11">
        <v>515.75</v>
      </c>
      <c r="T3" s="3" t="b">
        <v>1</v>
      </c>
      <c r="U3" s="3" t="b">
        <v>0</v>
      </c>
      <c r="V3" s="3" t="b">
        <v>1</v>
      </c>
    </row>
    <row r="4" spans="1:22" ht="45" x14ac:dyDescent="0.25">
      <c r="A4" s="3" t="s">
        <v>22</v>
      </c>
      <c r="B4" s="3">
        <v>5</v>
      </c>
      <c r="C4" s="4" t="s">
        <v>23</v>
      </c>
      <c r="D4" s="4" t="s">
        <v>24</v>
      </c>
      <c r="E4" s="3" t="s">
        <v>39</v>
      </c>
      <c r="F4" s="4" t="s">
        <v>40</v>
      </c>
      <c r="G4" s="5">
        <v>26</v>
      </c>
      <c r="H4" s="4" t="s">
        <v>115</v>
      </c>
      <c r="I4" s="6" t="s">
        <v>28</v>
      </c>
      <c r="J4" s="7">
        <v>0</v>
      </c>
      <c r="K4" s="8">
        <v>0</v>
      </c>
      <c r="L4" s="9" t="s">
        <v>400</v>
      </c>
      <c r="M4" s="9" t="s">
        <v>623</v>
      </c>
      <c r="N4" s="9" t="s">
        <v>297</v>
      </c>
      <c r="O4" s="9" t="s">
        <v>298</v>
      </c>
      <c r="P4" s="9" t="s">
        <v>624</v>
      </c>
      <c r="Q4" s="10">
        <v>17617</v>
      </c>
      <c r="R4" s="10">
        <v>1741</v>
      </c>
      <c r="S4" s="11">
        <v>515.75</v>
      </c>
      <c r="T4" s="3" t="b">
        <v>1</v>
      </c>
      <c r="U4" s="3" t="b">
        <v>0</v>
      </c>
      <c r="V4" s="3" t="b">
        <v>1</v>
      </c>
    </row>
    <row r="5" spans="1:22" ht="45" x14ac:dyDescent="0.25">
      <c r="A5" s="3" t="s">
        <v>22</v>
      </c>
      <c r="B5" s="3">
        <v>5</v>
      </c>
      <c r="C5" s="4" t="s">
        <v>23</v>
      </c>
      <c r="D5" s="4" t="s">
        <v>24</v>
      </c>
      <c r="E5" s="3" t="s">
        <v>45</v>
      </c>
      <c r="F5" s="4" t="s">
        <v>46</v>
      </c>
      <c r="G5" s="5">
        <v>20</v>
      </c>
      <c r="H5" s="4" t="s">
        <v>115</v>
      </c>
      <c r="I5" s="6" t="s">
        <v>28</v>
      </c>
      <c r="J5" s="7">
        <v>0</v>
      </c>
      <c r="K5" s="8">
        <v>0</v>
      </c>
      <c r="L5" s="9" t="s">
        <v>402</v>
      </c>
      <c r="M5" s="9" t="s">
        <v>625</v>
      </c>
      <c r="N5" s="9" t="s">
        <v>48</v>
      </c>
      <c r="O5" s="9" t="s">
        <v>626</v>
      </c>
      <c r="P5" s="9" t="s">
        <v>627</v>
      </c>
      <c r="Q5" s="10">
        <v>17617</v>
      </c>
      <c r="R5" s="10">
        <v>1741</v>
      </c>
      <c r="S5" s="11">
        <v>515.75</v>
      </c>
      <c r="T5" s="3" t="b">
        <v>1</v>
      </c>
      <c r="U5" s="3" t="b">
        <v>0</v>
      </c>
      <c r="V5" s="3" t="b">
        <v>1</v>
      </c>
    </row>
    <row r="6" spans="1:22" ht="45" x14ac:dyDescent="0.25">
      <c r="A6" s="3" t="s">
        <v>22</v>
      </c>
      <c r="B6" s="3">
        <v>5</v>
      </c>
      <c r="C6" s="4" t="s">
        <v>23</v>
      </c>
      <c r="D6" s="4" t="s">
        <v>24</v>
      </c>
      <c r="E6" s="3" t="s">
        <v>51</v>
      </c>
      <c r="F6" s="4" t="s">
        <v>52</v>
      </c>
      <c r="G6" s="5">
        <v>26</v>
      </c>
      <c r="H6" s="4" t="s">
        <v>115</v>
      </c>
      <c r="I6" s="6" t="s">
        <v>28</v>
      </c>
      <c r="J6" s="7">
        <v>0</v>
      </c>
      <c r="K6" s="8">
        <v>0</v>
      </c>
      <c r="L6" s="9" t="s">
        <v>406</v>
      </c>
      <c r="M6" s="9" t="s">
        <v>628</v>
      </c>
      <c r="N6" s="9" t="s">
        <v>30</v>
      </c>
      <c r="O6" s="9" t="s">
        <v>629</v>
      </c>
      <c r="P6" s="9" t="s">
        <v>630</v>
      </c>
      <c r="Q6" s="10">
        <v>17617</v>
      </c>
      <c r="R6" s="10">
        <v>1741</v>
      </c>
      <c r="S6" s="11">
        <v>515.75</v>
      </c>
      <c r="T6" s="3" t="b">
        <v>1</v>
      </c>
      <c r="U6" s="3" t="b">
        <v>0</v>
      </c>
      <c r="V6" s="3" t="b">
        <v>1</v>
      </c>
    </row>
    <row r="7" spans="1:22" ht="45" x14ac:dyDescent="0.25">
      <c r="A7" s="3" t="s">
        <v>22</v>
      </c>
      <c r="B7" s="3">
        <v>5</v>
      </c>
      <c r="C7" s="4" t="s">
        <v>23</v>
      </c>
      <c r="D7" s="4" t="s">
        <v>24</v>
      </c>
      <c r="E7" s="3" t="s">
        <v>56</v>
      </c>
      <c r="F7" s="4" t="s">
        <v>57</v>
      </c>
      <c r="G7" s="5">
        <v>18</v>
      </c>
      <c r="H7" s="4" t="s">
        <v>115</v>
      </c>
      <c r="I7" s="6" t="s">
        <v>28</v>
      </c>
      <c r="J7" s="7">
        <v>0</v>
      </c>
      <c r="K7" s="8">
        <v>0</v>
      </c>
      <c r="L7" s="9" t="s">
        <v>408</v>
      </c>
      <c r="M7" s="9" t="s">
        <v>631</v>
      </c>
      <c r="N7" s="9" t="s">
        <v>30</v>
      </c>
      <c r="O7" s="9" t="s">
        <v>632</v>
      </c>
      <c r="P7" s="9" t="s">
        <v>633</v>
      </c>
      <c r="Q7" s="10">
        <v>17617</v>
      </c>
      <c r="R7" s="10">
        <v>1741</v>
      </c>
      <c r="S7" s="11">
        <v>515.75</v>
      </c>
      <c r="T7" s="3" t="b">
        <v>1</v>
      </c>
      <c r="U7" s="3" t="b">
        <v>0</v>
      </c>
      <c r="V7" s="3" t="b">
        <v>1</v>
      </c>
    </row>
    <row r="8" spans="1:22" ht="45" x14ac:dyDescent="0.25">
      <c r="A8" s="3" t="s">
        <v>22</v>
      </c>
      <c r="B8" s="3">
        <v>5</v>
      </c>
      <c r="C8" s="4" t="s">
        <v>23</v>
      </c>
      <c r="D8" s="4" t="s">
        <v>61</v>
      </c>
      <c r="E8" s="3" t="s">
        <v>62</v>
      </c>
      <c r="F8" s="4" t="s">
        <v>63</v>
      </c>
      <c r="G8" s="5">
        <v>10</v>
      </c>
      <c r="H8" s="4" t="s">
        <v>27</v>
      </c>
      <c r="I8" s="6" t="s">
        <v>35</v>
      </c>
      <c r="J8" s="7">
        <v>2</v>
      </c>
      <c r="K8" s="8">
        <v>20</v>
      </c>
      <c r="L8" s="9"/>
      <c r="M8" s="9" t="s">
        <v>64</v>
      </c>
      <c r="N8" s="9" t="s">
        <v>48</v>
      </c>
      <c r="O8" s="9" t="s">
        <v>65</v>
      </c>
      <c r="P8" s="9" t="s">
        <v>66</v>
      </c>
      <c r="Q8" s="10">
        <v>17191</v>
      </c>
      <c r="R8" s="10">
        <v>1946</v>
      </c>
      <c r="S8" s="11">
        <v>535.66999999999996</v>
      </c>
      <c r="T8" s="3" t="b">
        <v>1</v>
      </c>
      <c r="U8" s="3" t="b">
        <v>0</v>
      </c>
      <c r="V8" s="3" t="b">
        <v>1</v>
      </c>
    </row>
    <row r="9" spans="1:22" ht="45" x14ac:dyDescent="0.25">
      <c r="A9" s="3" t="s">
        <v>22</v>
      </c>
      <c r="B9" s="3">
        <v>5</v>
      </c>
      <c r="C9" s="4" t="s">
        <v>23</v>
      </c>
      <c r="D9" s="4" t="s">
        <v>61</v>
      </c>
      <c r="E9" s="3" t="s">
        <v>67</v>
      </c>
      <c r="F9" s="4" t="s">
        <v>68</v>
      </c>
      <c r="G9" s="5">
        <v>8</v>
      </c>
      <c r="H9" s="4" t="s">
        <v>27</v>
      </c>
      <c r="I9" s="6" t="s">
        <v>35</v>
      </c>
      <c r="J9" s="7">
        <v>2</v>
      </c>
      <c r="K9" s="8">
        <v>25</v>
      </c>
      <c r="L9" s="9"/>
      <c r="M9" s="9" t="s">
        <v>69</v>
      </c>
      <c r="N9" s="9" t="s">
        <v>48</v>
      </c>
      <c r="O9" s="9" t="s">
        <v>70</v>
      </c>
      <c r="P9" s="9" t="s">
        <v>71</v>
      </c>
      <c r="Q9" s="10">
        <v>17191</v>
      </c>
      <c r="R9" s="10">
        <v>1946</v>
      </c>
      <c r="S9" s="11">
        <v>535.66999999999996</v>
      </c>
      <c r="T9" s="3" t="b">
        <v>1</v>
      </c>
      <c r="U9" s="3" t="b">
        <v>0</v>
      </c>
      <c r="V9" s="3" t="b">
        <v>1</v>
      </c>
    </row>
    <row r="10" spans="1:22" ht="45" x14ac:dyDescent="0.25">
      <c r="A10" s="3" t="s">
        <v>22</v>
      </c>
      <c r="B10" s="3">
        <v>5</v>
      </c>
      <c r="C10" s="4" t="s">
        <v>23</v>
      </c>
      <c r="D10" s="4" t="s">
        <v>61</v>
      </c>
      <c r="E10" s="3" t="s">
        <v>72</v>
      </c>
      <c r="F10" s="4" t="s">
        <v>73</v>
      </c>
      <c r="G10" s="5">
        <v>8</v>
      </c>
      <c r="H10" s="4" t="s">
        <v>27</v>
      </c>
      <c r="I10" s="6" t="s">
        <v>28</v>
      </c>
      <c r="J10" s="7">
        <v>0</v>
      </c>
      <c r="K10" s="8">
        <v>0</v>
      </c>
      <c r="L10" s="9"/>
      <c r="M10" s="9" t="s">
        <v>74</v>
      </c>
      <c r="N10" s="9" t="s">
        <v>30</v>
      </c>
      <c r="O10" s="9" t="s">
        <v>75</v>
      </c>
      <c r="P10" s="9" t="s">
        <v>76</v>
      </c>
      <c r="Q10" s="10">
        <v>17191</v>
      </c>
      <c r="R10" s="10">
        <v>1946</v>
      </c>
      <c r="S10" s="11">
        <v>535.66999999999996</v>
      </c>
      <c r="T10" s="3" t="b">
        <v>1</v>
      </c>
      <c r="U10" s="3" t="b">
        <v>0</v>
      </c>
      <c r="V10" s="3" t="b">
        <v>1</v>
      </c>
    </row>
    <row r="11" spans="1:22" ht="45" x14ac:dyDescent="0.25">
      <c r="A11" s="3" t="s">
        <v>22</v>
      </c>
      <c r="B11" s="3">
        <v>5</v>
      </c>
      <c r="C11" s="4" t="s">
        <v>23</v>
      </c>
      <c r="D11" s="4" t="s">
        <v>61</v>
      </c>
      <c r="E11" s="3" t="s">
        <v>77</v>
      </c>
      <c r="F11" s="4" t="s">
        <v>78</v>
      </c>
      <c r="G11" s="5">
        <v>10</v>
      </c>
      <c r="H11" s="4" t="s">
        <v>27</v>
      </c>
      <c r="I11" s="6" t="s">
        <v>28</v>
      </c>
      <c r="J11" s="7">
        <v>0</v>
      </c>
      <c r="K11" s="8">
        <v>0</v>
      </c>
      <c r="L11" s="9"/>
      <c r="M11" s="9" t="s">
        <v>79</v>
      </c>
      <c r="N11" s="9" t="s">
        <v>30</v>
      </c>
      <c r="O11" s="9" t="s">
        <v>509</v>
      </c>
      <c r="P11" s="9" t="s">
        <v>510</v>
      </c>
      <c r="Q11" s="10">
        <v>17191</v>
      </c>
      <c r="R11" s="10">
        <v>1946</v>
      </c>
      <c r="S11" s="11">
        <v>535.66999999999996</v>
      </c>
      <c r="T11" s="3" t="b">
        <v>1</v>
      </c>
      <c r="U11" s="3" t="b">
        <v>0</v>
      </c>
      <c r="V11" s="3" t="b">
        <v>1</v>
      </c>
    </row>
    <row r="12" spans="1:22" ht="45" x14ac:dyDescent="0.25">
      <c r="A12" s="3" t="s">
        <v>22</v>
      </c>
      <c r="B12" s="3">
        <v>5</v>
      </c>
      <c r="C12" s="4" t="s">
        <v>23</v>
      </c>
      <c r="D12" s="4" t="s">
        <v>61</v>
      </c>
      <c r="E12" s="3" t="s">
        <v>82</v>
      </c>
      <c r="F12" s="4" t="s">
        <v>83</v>
      </c>
      <c r="G12" s="5">
        <v>14</v>
      </c>
      <c r="H12" s="4" t="s">
        <v>27</v>
      </c>
      <c r="I12" s="6" t="s">
        <v>28</v>
      </c>
      <c r="J12" s="7">
        <v>0</v>
      </c>
      <c r="K12" s="8">
        <v>0</v>
      </c>
      <c r="L12" s="9"/>
      <c r="M12" s="9" t="s">
        <v>634</v>
      </c>
      <c r="N12" s="9" t="s">
        <v>30</v>
      </c>
      <c r="O12" s="9" t="s">
        <v>85</v>
      </c>
      <c r="P12" s="9" t="s">
        <v>86</v>
      </c>
      <c r="Q12" s="10">
        <v>17191</v>
      </c>
      <c r="R12" s="10">
        <v>1946</v>
      </c>
      <c r="S12" s="11">
        <v>535.66999999999996</v>
      </c>
      <c r="T12" s="3" t="b">
        <v>1</v>
      </c>
      <c r="U12" s="3" t="b">
        <v>0</v>
      </c>
      <c r="V12" s="3" t="b">
        <v>1</v>
      </c>
    </row>
    <row r="13" spans="1:22" ht="45" x14ac:dyDescent="0.25">
      <c r="A13" s="3" t="s">
        <v>22</v>
      </c>
      <c r="B13" s="3">
        <v>5</v>
      </c>
      <c r="C13" s="4" t="s">
        <v>23</v>
      </c>
      <c r="D13" s="4" t="s">
        <v>61</v>
      </c>
      <c r="E13" s="3" t="s">
        <v>87</v>
      </c>
      <c r="F13" s="4" t="s">
        <v>88</v>
      </c>
      <c r="G13" s="5">
        <v>12</v>
      </c>
      <c r="H13" s="4" t="s">
        <v>27</v>
      </c>
      <c r="I13" s="6" t="s">
        <v>28</v>
      </c>
      <c r="J13" s="7">
        <v>0</v>
      </c>
      <c r="K13" s="8">
        <v>0</v>
      </c>
      <c r="L13" s="9"/>
      <c r="M13" s="9" t="s">
        <v>635</v>
      </c>
      <c r="N13" s="9" t="s">
        <v>30</v>
      </c>
      <c r="O13" s="9" t="s">
        <v>512</v>
      </c>
      <c r="P13" s="9" t="s">
        <v>636</v>
      </c>
      <c r="Q13" s="10">
        <v>17191</v>
      </c>
      <c r="R13" s="10">
        <v>1946</v>
      </c>
      <c r="S13" s="11">
        <v>535.66999999999996</v>
      </c>
      <c r="T13" s="3" t="b">
        <v>1</v>
      </c>
      <c r="U13" s="3" t="b">
        <v>0</v>
      </c>
      <c r="V13" s="3" t="b">
        <v>1</v>
      </c>
    </row>
    <row r="14" spans="1:22" ht="45" x14ac:dyDescent="0.25">
      <c r="A14" s="3" t="s">
        <v>22</v>
      </c>
      <c r="B14" s="3">
        <v>5</v>
      </c>
      <c r="C14" s="4" t="s">
        <v>23</v>
      </c>
      <c r="D14" s="4" t="s">
        <v>61</v>
      </c>
      <c r="E14" s="3" t="s">
        <v>92</v>
      </c>
      <c r="F14" s="4" t="s">
        <v>93</v>
      </c>
      <c r="G14" s="5">
        <v>10</v>
      </c>
      <c r="H14" s="4" t="s">
        <v>27</v>
      </c>
      <c r="I14" s="6" t="s">
        <v>28</v>
      </c>
      <c r="J14" s="7">
        <v>0</v>
      </c>
      <c r="K14" s="8">
        <v>0</v>
      </c>
      <c r="L14" s="9"/>
      <c r="M14" s="9" t="s">
        <v>94</v>
      </c>
      <c r="N14" s="9" t="s">
        <v>30</v>
      </c>
      <c r="O14" s="9" t="s">
        <v>95</v>
      </c>
      <c r="P14" s="9" t="s">
        <v>432</v>
      </c>
      <c r="Q14" s="10">
        <v>17191</v>
      </c>
      <c r="R14" s="10">
        <v>1946</v>
      </c>
      <c r="S14" s="11">
        <v>535.66999999999996</v>
      </c>
      <c r="T14" s="3" t="b">
        <v>1</v>
      </c>
      <c r="U14" s="3" t="b">
        <v>0</v>
      </c>
      <c r="V14" s="3" t="b">
        <v>1</v>
      </c>
    </row>
    <row r="15" spans="1:22" ht="45" x14ac:dyDescent="0.25">
      <c r="A15" s="3" t="s">
        <v>22</v>
      </c>
      <c r="B15" s="3">
        <v>5</v>
      </c>
      <c r="C15" s="4" t="s">
        <v>23</v>
      </c>
      <c r="D15" s="4" t="s">
        <v>61</v>
      </c>
      <c r="E15" s="3" t="s">
        <v>97</v>
      </c>
      <c r="F15" s="4" t="s">
        <v>98</v>
      </c>
      <c r="G15" s="5">
        <v>8</v>
      </c>
      <c r="H15" s="4" t="s">
        <v>27</v>
      </c>
      <c r="I15" s="6" t="s">
        <v>28</v>
      </c>
      <c r="J15" s="7">
        <v>0</v>
      </c>
      <c r="K15" s="8">
        <v>0</v>
      </c>
      <c r="L15" s="9"/>
      <c r="M15" s="9" t="s">
        <v>99</v>
      </c>
      <c r="N15" s="9" t="s">
        <v>30</v>
      </c>
      <c r="O15" s="9" t="s">
        <v>100</v>
      </c>
      <c r="P15" s="9" t="s">
        <v>637</v>
      </c>
      <c r="Q15" s="10">
        <v>17191</v>
      </c>
      <c r="R15" s="10">
        <v>1946</v>
      </c>
      <c r="S15" s="11">
        <v>535.66999999999996</v>
      </c>
      <c r="T15" s="3" t="b">
        <v>1</v>
      </c>
      <c r="U15" s="3" t="b">
        <v>0</v>
      </c>
      <c r="V15" s="3" t="b">
        <v>1</v>
      </c>
    </row>
    <row r="16" spans="1:22" ht="45" x14ac:dyDescent="0.25">
      <c r="A16" s="3" t="s">
        <v>22</v>
      </c>
      <c r="B16" s="3">
        <v>5</v>
      </c>
      <c r="C16" s="4" t="s">
        <v>23</v>
      </c>
      <c r="D16" s="4" t="s">
        <v>61</v>
      </c>
      <c r="E16" s="3" t="s">
        <v>102</v>
      </c>
      <c r="F16" s="4" t="s">
        <v>638</v>
      </c>
      <c r="G16" s="5">
        <v>8</v>
      </c>
      <c r="H16" s="4" t="s">
        <v>27</v>
      </c>
      <c r="I16" s="6" t="s">
        <v>28</v>
      </c>
      <c r="J16" s="7">
        <v>0</v>
      </c>
      <c r="K16" s="8">
        <v>0</v>
      </c>
      <c r="L16" s="9"/>
      <c r="M16" s="9" t="s">
        <v>639</v>
      </c>
      <c r="N16" s="9" t="s">
        <v>30</v>
      </c>
      <c r="O16" s="9" t="s">
        <v>640</v>
      </c>
      <c r="P16" s="9" t="s">
        <v>641</v>
      </c>
      <c r="Q16" s="10">
        <v>17191</v>
      </c>
      <c r="R16" s="10">
        <v>1946</v>
      </c>
      <c r="S16" s="11">
        <v>535.66999999999996</v>
      </c>
      <c r="T16" s="3" t="b">
        <v>1</v>
      </c>
      <c r="U16" s="3" t="b">
        <v>0</v>
      </c>
      <c r="V16" s="3" t="b">
        <v>1</v>
      </c>
    </row>
    <row r="17" spans="1:22" ht="45" x14ac:dyDescent="0.25">
      <c r="A17" s="3" t="s">
        <v>22</v>
      </c>
      <c r="B17" s="3">
        <v>5</v>
      </c>
      <c r="C17" s="4" t="s">
        <v>23</v>
      </c>
      <c r="D17" s="4" t="s">
        <v>61</v>
      </c>
      <c r="E17" s="3" t="s">
        <v>107</v>
      </c>
      <c r="F17" s="4" t="s">
        <v>108</v>
      </c>
      <c r="G17" s="5">
        <v>12</v>
      </c>
      <c r="H17" s="4" t="s">
        <v>27</v>
      </c>
      <c r="I17" s="6" t="s">
        <v>28</v>
      </c>
      <c r="J17" s="7">
        <v>0</v>
      </c>
      <c r="K17" s="8">
        <v>0</v>
      </c>
      <c r="L17" s="9"/>
      <c r="M17" s="9" t="s">
        <v>642</v>
      </c>
      <c r="N17" s="9" t="s">
        <v>30</v>
      </c>
      <c r="O17" s="9" t="s">
        <v>110</v>
      </c>
      <c r="P17" s="9" t="s">
        <v>643</v>
      </c>
      <c r="Q17" s="10">
        <v>17191</v>
      </c>
      <c r="R17" s="10">
        <v>1946</v>
      </c>
      <c r="S17" s="11">
        <v>535.66999999999996</v>
      </c>
      <c r="T17" s="3" t="b">
        <v>1</v>
      </c>
      <c r="U17" s="3" t="b">
        <v>0</v>
      </c>
      <c r="V17" s="3" t="b">
        <v>1</v>
      </c>
    </row>
    <row r="18" spans="1:22" ht="45" x14ac:dyDescent="0.25">
      <c r="A18" s="3" t="s">
        <v>22</v>
      </c>
      <c r="B18" s="3">
        <v>5</v>
      </c>
      <c r="C18" s="4" t="s">
        <v>23</v>
      </c>
      <c r="D18" s="4" t="s">
        <v>112</v>
      </c>
      <c r="E18" s="3" t="s">
        <v>113</v>
      </c>
      <c r="F18" s="4" t="s">
        <v>114</v>
      </c>
      <c r="G18" s="5">
        <v>14</v>
      </c>
      <c r="H18" s="4" t="s">
        <v>27</v>
      </c>
      <c r="I18" s="6" t="s">
        <v>35</v>
      </c>
      <c r="J18" s="7">
        <v>2</v>
      </c>
      <c r="K18" s="8">
        <v>14.3</v>
      </c>
      <c r="L18" s="9" t="s">
        <v>321</v>
      </c>
      <c r="M18" s="9" t="s">
        <v>322</v>
      </c>
      <c r="N18" s="9" t="s">
        <v>30</v>
      </c>
      <c r="O18" s="9" t="s">
        <v>323</v>
      </c>
      <c r="P18" s="9" t="s">
        <v>324</v>
      </c>
      <c r="Q18" s="10">
        <v>17916</v>
      </c>
      <c r="R18" s="10">
        <v>1311</v>
      </c>
      <c r="S18" s="11">
        <v>384.86</v>
      </c>
      <c r="T18" s="3" t="b">
        <v>1</v>
      </c>
      <c r="U18" s="3" t="b">
        <v>0</v>
      </c>
      <c r="V18" s="3" t="b">
        <v>1</v>
      </c>
    </row>
    <row r="19" spans="1:22" ht="45" x14ac:dyDescent="0.25">
      <c r="A19" s="3" t="s">
        <v>22</v>
      </c>
      <c r="B19" s="3">
        <v>5</v>
      </c>
      <c r="C19" s="4" t="s">
        <v>23</v>
      </c>
      <c r="D19" s="4" t="s">
        <v>112</v>
      </c>
      <c r="E19" s="3" t="s">
        <v>120</v>
      </c>
      <c r="F19" s="4" t="s">
        <v>121</v>
      </c>
      <c r="G19" s="5">
        <v>10</v>
      </c>
      <c r="H19" s="4" t="s">
        <v>27</v>
      </c>
      <c r="I19" s="6" t="s">
        <v>35</v>
      </c>
      <c r="J19" s="7">
        <v>2</v>
      </c>
      <c r="K19" s="8">
        <v>20</v>
      </c>
      <c r="L19" s="9" t="s">
        <v>325</v>
      </c>
      <c r="M19" s="9" t="s">
        <v>326</v>
      </c>
      <c r="N19" s="9" t="s">
        <v>30</v>
      </c>
      <c r="O19" s="9" t="s">
        <v>327</v>
      </c>
      <c r="P19" s="9" t="s">
        <v>328</v>
      </c>
      <c r="Q19" s="10">
        <v>17916</v>
      </c>
      <c r="R19" s="10">
        <v>1311</v>
      </c>
      <c r="S19" s="11">
        <v>384.86</v>
      </c>
      <c r="T19" s="3" t="b">
        <v>1</v>
      </c>
      <c r="U19" s="3" t="b">
        <v>0</v>
      </c>
      <c r="V19" s="3" t="b">
        <v>1</v>
      </c>
    </row>
    <row r="20" spans="1:22" ht="45" x14ac:dyDescent="0.25">
      <c r="A20" s="3" t="s">
        <v>22</v>
      </c>
      <c r="B20" s="3">
        <v>5</v>
      </c>
      <c r="C20" s="4" t="s">
        <v>23</v>
      </c>
      <c r="D20" s="4" t="s">
        <v>112</v>
      </c>
      <c r="E20" s="3" t="s">
        <v>126</v>
      </c>
      <c r="F20" s="4" t="s">
        <v>127</v>
      </c>
      <c r="G20" s="5">
        <v>24</v>
      </c>
      <c r="H20" s="4" t="s">
        <v>27</v>
      </c>
      <c r="I20" s="6" t="s">
        <v>35</v>
      </c>
      <c r="J20" s="7">
        <v>2</v>
      </c>
      <c r="K20" s="8">
        <v>8.3000000000000007</v>
      </c>
      <c r="L20" s="9" t="s">
        <v>329</v>
      </c>
      <c r="M20" s="9" t="s">
        <v>330</v>
      </c>
      <c r="N20" s="9" t="s">
        <v>30</v>
      </c>
      <c r="O20" s="9" t="s">
        <v>331</v>
      </c>
      <c r="P20" s="9" t="s">
        <v>332</v>
      </c>
      <c r="Q20" s="10">
        <v>17916</v>
      </c>
      <c r="R20" s="10">
        <v>1311</v>
      </c>
      <c r="S20" s="11">
        <v>384.86</v>
      </c>
      <c r="T20" s="3" t="b">
        <v>1</v>
      </c>
      <c r="U20" s="3" t="b">
        <v>0</v>
      </c>
      <c r="V20" s="3" t="b">
        <v>1</v>
      </c>
    </row>
    <row r="21" spans="1:22" ht="45" x14ac:dyDescent="0.25">
      <c r="A21" s="3" t="s">
        <v>22</v>
      </c>
      <c r="B21" s="3">
        <v>5</v>
      </c>
      <c r="C21" s="4" t="s">
        <v>23</v>
      </c>
      <c r="D21" s="4" t="s">
        <v>112</v>
      </c>
      <c r="E21" s="3" t="s">
        <v>132</v>
      </c>
      <c r="F21" s="4" t="s">
        <v>133</v>
      </c>
      <c r="G21" s="5">
        <v>14</v>
      </c>
      <c r="H21" s="4" t="s">
        <v>27</v>
      </c>
      <c r="I21" s="6" t="s">
        <v>35</v>
      </c>
      <c r="J21" s="7">
        <v>1</v>
      </c>
      <c r="K21" s="8">
        <v>7.1</v>
      </c>
      <c r="L21" s="9" t="s">
        <v>333</v>
      </c>
      <c r="M21" s="9" t="s">
        <v>644</v>
      </c>
      <c r="N21" s="9" t="s">
        <v>30</v>
      </c>
      <c r="O21" s="9" t="s">
        <v>645</v>
      </c>
      <c r="P21" s="9" t="s">
        <v>646</v>
      </c>
      <c r="Q21" s="10">
        <v>17916</v>
      </c>
      <c r="R21" s="10">
        <v>1311</v>
      </c>
      <c r="S21" s="11">
        <v>384.86</v>
      </c>
      <c r="T21" s="3" t="b">
        <v>1</v>
      </c>
      <c r="U21" s="3" t="b">
        <v>0</v>
      </c>
      <c r="V21" s="3" t="b">
        <v>1</v>
      </c>
    </row>
    <row r="22" spans="1:22" ht="45" x14ac:dyDescent="0.25">
      <c r="A22" s="3" t="s">
        <v>22</v>
      </c>
      <c r="B22" s="3">
        <v>5</v>
      </c>
      <c r="C22" s="4" t="s">
        <v>23</v>
      </c>
      <c r="D22" s="4" t="s">
        <v>112</v>
      </c>
      <c r="E22" s="3" t="s">
        <v>138</v>
      </c>
      <c r="F22" s="4" t="s">
        <v>139</v>
      </c>
      <c r="G22" s="5">
        <v>14</v>
      </c>
      <c r="H22" s="4" t="s">
        <v>27</v>
      </c>
      <c r="I22" s="6" t="s">
        <v>35</v>
      </c>
      <c r="J22" s="7">
        <v>1</v>
      </c>
      <c r="K22" s="8">
        <v>7.1</v>
      </c>
      <c r="L22" s="9" t="s">
        <v>647</v>
      </c>
      <c r="M22" s="9" t="s">
        <v>338</v>
      </c>
      <c r="N22" s="9" t="s">
        <v>30</v>
      </c>
      <c r="O22" s="9" t="s">
        <v>339</v>
      </c>
      <c r="P22" s="9" t="s">
        <v>340</v>
      </c>
      <c r="Q22" s="10">
        <v>17916</v>
      </c>
      <c r="R22" s="10">
        <v>1311</v>
      </c>
      <c r="S22" s="11">
        <v>384.86</v>
      </c>
      <c r="T22" s="3" t="b">
        <v>1</v>
      </c>
      <c r="U22" s="3" t="b">
        <v>0</v>
      </c>
      <c r="V22" s="3" t="b">
        <v>1</v>
      </c>
    </row>
    <row r="23" spans="1:22" ht="45" x14ac:dyDescent="0.25">
      <c r="A23" s="3" t="s">
        <v>22</v>
      </c>
      <c r="B23" s="3">
        <v>5</v>
      </c>
      <c r="C23" s="4" t="s">
        <v>23</v>
      </c>
      <c r="D23" s="4" t="s">
        <v>112</v>
      </c>
      <c r="E23" s="3" t="s">
        <v>144</v>
      </c>
      <c r="F23" s="4" t="s">
        <v>145</v>
      </c>
      <c r="G23" s="5">
        <v>10</v>
      </c>
      <c r="H23" s="4" t="s">
        <v>27</v>
      </c>
      <c r="I23" s="6" t="s">
        <v>35</v>
      </c>
      <c r="J23" s="7">
        <v>1</v>
      </c>
      <c r="K23" s="8">
        <v>10</v>
      </c>
      <c r="L23" s="9" t="s">
        <v>341</v>
      </c>
      <c r="M23" s="9" t="s">
        <v>342</v>
      </c>
      <c r="N23" s="9" t="s">
        <v>30</v>
      </c>
      <c r="O23" s="9" t="s">
        <v>343</v>
      </c>
      <c r="P23" s="9" t="s">
        <v>344</v>
      </c>
      <c r="Q23" s="10">
        <v>17916</v>
      </c>
      <c r="R23" s="10">
        <v>1311</v>
      </c>
      <c r="S23" s="11">
        <v>384.86</v>
      </c>
      <c r="T23" s="3" t="b">
        <v>1</v>
      </c>
      <c r="U23" s="3" t="b">
        <v>0</v>
      </c>
      <c r="V23" s="3" t="b">
        <v>1</v>
      </c>
    </row>
    <row r="24" spans="1:22" ht="45" x14ac:dyDescent="0.25">
      <c r="A24" s="3" t="s">
        <v>22</v>
      </c>
      <c r="B24" s="3">
        <v>5</v>
      </c>
      <c r="C24" s="4" t="s">
        <v>23</v>
      </c>
      <c r="D24" s="4" t="s">
        <v>150</v>
      </c>
      <c r="E24" s="3" t="s">
        <v>151</v>
      </c>
      <c r="F24" s="4" t="s">
        <v>152</v>
      </c>
      <c r="G24" s="5">
        <v>26</v>
      </c>
      <c r="H24" s="4" t="s">
        <v>27</v>
      </c>
      <c r="I24" s="6" t="s">
        <v>35</v>
      </c>
      <c r="J24" s="7">
        <v>2</v>
      </c>
      <c r="K24" s="8">
        <v>7.7</v>
      </c>
      <c r="L24" s="9" t="s">
        <v>153</v>
      </c>
      <c r="M24" s="9" t="s">
        <v>154</v>
      </c>
      <c r="N24" s="9" t="s">
        <v>48</v>
      </c>
      <c r="O24" s="9" t="s">
        <v>155</v>
      </c>
      <c r="P24" s="9" t="s">
        <v>156</v>
      </c>
      <c r="Q24" s="10">
        <v>17220</v>
      </c>
      <c r="R24" s="10">
        <v>2492</v>
      </c>
      <c r="S24" s="11">
        <v>782.95</v>
      </c>
      <c r="T24" s="3" t="b">
        <v>1</v>
      </c>
      <c r="U24" s="3" t="b">
        <v>0</v>
      </c>
      <c r="V24" s="3" t="b">
        <v>1</v>
      </c>
    </row>
    <row r="25" spans="1:22" ht="45" x14ac:dyDescent="0.25">
      <c r="A25" s="3" t="s">
        <v>22</v>
      </c>
      <c r="B25" s="3">
        <v>5</v>
      </c>
      <c r="C25" s="4" t="s">
        <v>23</v>
      </c>
      <c r="D25" s="4" t="s">
        <v>150</v>
      </c>
      <c r="E25" s="3" t="s">
        <v>157</v>
      </c>
      <c r="F25" s="4" t="s">
        <v>158</v>
      </c>
      <c r="G25" s="5">
        <v>20</v>
      </c>
      <c r="H25" s="4" t="s">
        <v>27</v>
      </c>
      <c r="I25" s="6" t="s">
        <v>35</v>
      </c>
      <c r="J25" s="7">
        <v>2</v>
      </c>
      <c r="K25" s="8">
        <v>10</v>
      </c>
      <c r="L25" s="9" t="s">
        <v>159</v>
      </c>
      <c r="M25" s="9" t="s">
        <v>160</v>
      </c>
      <c r="N25" s="9" t="s">
        <v>48</v>
      </c>
      <c r="O25" s="9" t="s">
        <v>161</v>
      </c>
      <c r="P25" s="9" t="s">
        <v>162</v>
      </c>
      <c r="Q25" s="10">
        <v>17220</v>
      </c>
      <c r="R25" s="10">
        <v>2492</v>
      </c>
      <c r="S25" s="11">
        <v>782.95</v>
      </c>
      <c r="T25" s="3" t="b">
        <v>1</v>
      </c>
      <c r="U25" s="3" t="b">
        <v>0</v>
      </c>
      <c r="V25" s="3" t="b">
        <v>1</v>
      </c>
    </row>
    <row r="26" spans="1:22" ht="45" x14ac:dyDescent="0.25">
      <c r="A26" s="3" t="s">
        <v>22</v>
      </c>
      <c r="B26" s="3">
        <v>5</v>
      </c>
      <c r="C26" s="4" t="s">
        <v>23</v>
      </c>
      <c r="D26" s="4" t="s">
        <v>150</v>
      </c>
      <c r="E26" s="3" t="s">
        <v>163</v>
      </c>
      <c r="F26" s="4" t="s">
        <v>164</v>
      </c>
      <c r="G26" s="5">
        <v>14</v>
      </c>
      <c r="H26" s="4" t="s">
        <v>27</v>
      </c>
      <c r="I26" s="6" t="s">
        <v>35</v>
      </c>
      <c r="J26" s="7">
        <v>2</v>
      </c>
      <c r="K26" s="8">
        <v>14.3</v>
      </c>
      <c r="L26" s="9" t="s">
        <v>165</v>
      </c>
      <c r="M26" s="9" t="s">
        <v>166</v>
      </c>
      <c r="N26" s="9" t="s">
        <v>48</v>
      </c>
      <c r="O26" s="9" t="s">
        <v>167</v>
      </c>
      <c r="P26" s="9" t="s">
        <v>168</v>
      </c>
      <c r="Q26" s="10">
        <v>17220</v>
      </c>
      <c r="R26" s="10">
        <v>2492</v>
      </c>
      <c r="S26" s="11">
        <v>782.95</v>
      </c>
      <c r="T26" s="3" t="b">
        <v>1</v>
      </c>
      <c r="U26" s="3" t="b">
        <v>0</v>
      </c>
      <c r="V26" s="3" t="b">
        <v>1</v>
      </c>
    </row>
    <row r="27" spans="1:22" ht="45" x14ac:dyDescent="0.25">
      <c r="A27" s="3" t="s">
        <v>22</v>
      </c>
      <c r="B27" s="3">
        <v>5</v>
      </c>
      <c r="C27" s="4" t="s">
        <v>23</v>
      </c>
      <c r="D27" s="4" t="s">
        <v>150</v>
      </c>
      <c r="E27" s="3" t="s">
        <v>169</v>
      </c>
      <c r="F27" s="4" t="s">
        <v>170</v>
      </c>
      <c r="G27" s="5">
        <v>12</v>
      </c>
      <c r="H27" s="4" t="s">
        <v>27</v>
      </c>
      <c r="I27" s="6" t="s">
        <v>35</v>
      </c>
      <c r="J27" s="7">
        <v>1</v>
      </c>
      <c r="K27" s="8">
        <v>8.3000000000000007</v>
      </c>
      <c r="L27" s="9" t="s">
        <v>171</v>
      </c>
      <c r="M27" s="9" t="s">
        <v>172</v>
      </c>
      <c r="N27" s="9" t="s">
        <v>48</v>
      </c>
      <c r="O27" s="9" t="s">
        <v>173</v>
      </c>
      <c r="P27" s="9" t="s">
        <v>174</v>
      </c>
      <c r="Q27" s="10">
        <v>17220</v>
      </c>
      <c r="R27" s="10">
        <v>2492</v>
      </c>
      <c r="S27" s="11">
        <v>782.95</v>
      </c>
      <c r="T27" s="3" t="b">
        <v>1</v>
      </c>
      <c r="U27" s="3" t="b">
        <v>0</v>
      </c>
      <c r="V27" s="3" t="b">
        <v>1</v>
      </c>
    </row>
    <row r="28" spans="1:22" ht="45" x14ac:dyDescent="0.25">
      <c r="A28" s="3" t="s">
        <v>22</v>
      </c>
      <c r="B28" s="3">
        <v>5</v>
      </c>
      <c r="C28" s="4" t="s">
        <v>23</v>
      </c>
      <c r="D28" s="4" t="s">
        <v>150</v>
      </c>
      <c r="E28" s="3" t="s">
        <v>175</v>
      </c>
      <c r="F28" s="4" t="s">
        <v>176</v>
      </c>
      <c r="G28" s="5">
        <v>12</v>
      </c>
      <c r="H28" s="4" t="s">
        <v>27</v>
      </c>
      <c r="I28" s="6" t="s">
        <v>35</v>
      </c>
      <c r="J28" s="7">
        <v>1</v>
      </c>
      <c r="K28" s="8">
        <v>8.3000000000000007</v>
      </c>
      <c r="L28" s="9" t="s">
        <v>177</v>
      </c>
      <c r="M28" s="9" t="s">
        <v>178</v>
      </c>
      <c r="N28" s="9" t="s">
        <v>48</v>
      </c>
      <c r="O28" s="9" t="s">
        <v>179</v>
      </c>
      <c r="P28" s="9" t="s">
        <v>180</v>
      </c>
      <c r="Q28" s="10">
        <v>17220</v>
      </c>
      <c r="R28" s="10">
        <v>2492</v>
      </c>
      <c r="S28" s="11">
        <v>782.95</v>
      </c>
      <c r="T28" s="3" t="b">
        <v>1</v>
      </c>
      <c r="U28" s="3" t="b">
        <v>0</v>
      </c>
      <c r="V28" s="3" t="b">
        <v>1</v>
      </c>
    </row>
    <row r="29" spans="1:22" ht="45" x14ac:dyDescent="0.25">
      <c r="A29" s="3" t="s">
        <v>22</v>
      </c>
      <c r="B29" s="3">
        <v>5</v>
      </c>
      <c r="C29" s="4" t="s">
        <v>23</v>
      </c>
      <c r="D29" s="4" t="s">
        <v>150</v>
      </c>
      <c r="E29" s="3" t="s">
        <v>181</v>
      </c>
      <c r="F29" s="4" t="s">
        <v>182</v>
      </c>
      <c r="G29" s="5">
        <v>8</v>
      </c>
      <c r="H29" s="4" t="s">
        <v>27</v>
      </c>
      <c r="I29" s="6" t="s">
        <v>35</v>
      </c>
      <c r="J29" s="7">
        <v>1</v>
      </c>
      <c r="K29" s="8">
        <v>12.5</v>
      </c>
      <c r="L29" s="9" t="s">
        <v>183</v>
      </c>
      <c r="M29" s="9" t="s">
        <v>648</v>
      </c>
      <c r="N29" s="9" t="s">
        <v>48</v>
      </c>
      <c r="O29" s="9" t="s">
        <v>185</v>
      </c>
      <c r="P29" s="9" t="s">
        <v>186</v>
      </c>
      <c r="Q29" s="10">
        <v>17220</v>
      </c>
      <c r="R29" s="10">
        <v>2492</v>
      </c>
      <c r="S29" s="11">
        <v>782.95</v>
      </c>
      <c r="T29" s="3" t="b">
        <v>1</v>
      </c>
      <c r="U29" s="3" t="b">
        <v>0</v>
      </c>
      <c r="V29" s="3" t="b">
        <v>1</v>
      </c>
    </row>
    <row r="30" spans="1:22" ht="45" x14ac:dyDescent="0.25">
      <c r="A30" s="3" t="s">
        <v>22</v>
      </c>
      <c r="B30" s="3">
        <v>5</v>
      </c>
      <c r="C30" s="4" t="s">
        <v>23</v>
      </c>
      <c r="D30" s="4" t="s">
        <v>150</v>
      </c>
      <c r="E30" s="3" t="s">
        <v>187</v>
      </c>
      <c r="F30" s="4" t="s">
        <v>188</v>
      </c>
      <c r="G30" s="5">
        <v>14</v>
      </c>
      <c r="H30" s="4" t="s">
        <v>27</v>
      </c>
      <c r="I30" s="6" t="s">
        <v>35</v>
      </c>
      <c r="J30" s="7">
        <v>1</v>
      </c>
      <c r="K30" s="8">
        <v>7.1</v>
      </c>
      <c r="L30" s="9" t="s">
        <v>189</v>
      </c>
      <c r="M30" s="9" t="s">
        <v>649</v>
      </c>
      <c r="N30" s="9" t="s">
        <v>48</v>
      </c>
      <c r="O30" s="9" t="s">
        <v>191</v>
      </c>
      <c r="P30" s="9" t="s">
        <v>192</v>
      </c>
      <c r="Q30" s="10">
        <v>17220</v>
      </c>
      <c r="R30" s="10">
        <v>2492</v>
      </c>
      <c r="S30" s="11">
        <v>782.95</v>
      </c>
      <c r="T30" s="3" t="b">
        <v>1</v>
      </c>
      <c r="U30" s="3" t="b">
        <v>0</v>
      </c>
      <c r="V30" s="3" t="b">
        <v>1</v>
      </c>
    </row>
    <row r="31" spans="1:22" ht="45" x14ac:dyDescent="0.25">
      <c r="A31" s="3" t="s">
        <v>22</v>
      </c>
      <c r="B31" s="3">
        <v>5</v>
      </c>
      <c r="C31" s="4" t="s">
        <v>23</v>
      </c>
      <c r="D31" s="4" t="s">
        <v>150</v>
      </c>
      <c r="E31" s="3" t="s">
        <v>193</v>
      </c>
      <c r="F31" s="4" t="s">
        <v>194</v>
      </c>
      <c r="G31" s="5">
        <v>16</v>
      </c>
      <c r="H31" s="4" t="s">
        <v>27</v>
      </c>
      <c r="I31" s="6" t="s">
        <v>35</v>
      </c>
      <c r="J31" s="7">
        <v>5</v>
      </c>
      <c r="K31" s="8">
        <v>31.2</v>
      </c>
      <c r="L31" s="9" t="s">
        <v>650</v>
      </c>
      <c r="M31" s="9" t="s">
        <v>651</v>
      </c>
      <c r="N31" s="9" t="s">
        <v>48</v>
      </c>
      <c r="O31" s="9" t="s">
        <v>652</v>
      </c>
      <c r="P31" s="9" t="s">
        <v>653</v>
      </c>
      <c r="Q31" s="10">
        <v>17220</v>
      </c>
      <c r="R31" s="10">
        <v>2492</v>
      </c>
      <c r="S31" s="11">
        <v>782.95</v>
      </c>
      <c r="T31" s="3" t="b">
        <v>1</v>
      </c>
      <c r="U31" s="3" t="b">
        <v>0</v>
      </c>
      <c r="V31" s="3" t="b">
        <v>1</v>
      </c>
    </row>
    <row r="32" spans="1:22" ht="45" x14ac:dyDescent="0.25">
      <c r="A32" s="3" t="s">
        <v>22</v>
      </c>
      <c r="B32" s="3">
        <v>5</v>
      </c>
      <c r="C32" s="4" t="s">
        <v>23</v>
      </c>
      <c r="D32" s="4" t="s">
        <v>150</v>
      </c>
      <c r="E32" s="3" t="s">
        <v>199</v>
      </c>
      <c r="F32" s="4" t="s">
        <v>200</v>
      </c>
      <c r="G32" s="5">
        <v>14</v>
      </c>
      <c r="H32" s="4" t="s">
        <v>27</v>
      </c>
      <c r="I32" s="6" t="s">
        <v>35</v>
      </c>
      <c r="J32" s="7">
        <v>1</v>
      </c>
      <c r="K32" s="8">
        <v>7.1</v>
      </c>
      <c r="L32" s="9" t="s">
        <v>201</v>
      </c>
      <c r="M32" s="9" t="s">
        <v>654</v>
      </c>
      <c r="N32" s="9" t="s">
        <v>48</v>
      </c>
      <c r="O32" s="9" t="s">
        <v>655</v>
      </c>
      <c r="P32" s="9" t="s">
        <v>656</v>
      </c>
      <c r="Q32" s="10">
        <v>17220</v>
      </c>
      <c r="R32" s="10">
        <v>2492</v>
      </c>
      <c r="S32" s="11">
        <v>782.95</v>
      </c>
      <c r="T32" s="3" t="b">
        <v>1</v>
      </c>
      <c r="U32" s="3" t="b">
        <v>0</v>
      </c>
      <c r="V32" s="3" t="b">
        <v>1</v>
      </c>
    </row>
    <row r="33" spans="1:22" ht="45" x14ac:dyDescent="0.25">
      <c r="A33" s="3" t="s">
        <v>22</v>
      </c>
      <c r="B33" s="3">
        <v>5</v>
      </c>
      <c r="C33" s="4" t="s">
        <v>23</v>
      </c>
      <c r="D33" s="4" t="s">
        <v>150</v>
      </c>
      <c r="E33" s="3" t="s">
        <v>205</v>
      </c>
      <c r="F33" s="4" t="s">
        <v>206</v>
      </c>
      <c r="G33" s="5">
        <v>18</v>
      </c>
      <c r="H33" s="4" t="s">
        <v>27</v>
      </c>
      <c r="I33" s="6" t="s">
        <v>35</v>
      </c>
      <c r="J33" s="7">
        <v>3</v>
      </c>
      <c r="K33" s="8">
        <v>16.7</v>
      </c>
      <c r="L33" s="9" t="s">
        <v>657</v>
      </c>
      <c r="M33" s="9" t="s">
        <v>658</v>
      </c>
      <c r="N33" s="9" t="s">
        <v>48</v>
      </c>
      <c r="O33" s="9" t="s">
        <v>659</v>
      </c>
      <c r="P33" s="9" t="s">
        <v>660</v>
      </c>
      <c r="Q33" s="10">
        <v>17220</v>
      </c>
      <c r="R33" s="10">
        <v>2492</v>
      </c>
      <c r="S33" s="11">
        <v>782.95</v>
      </c>
      <c r="T33" s="3" t="b">
        <v>1</v>
      </c>
      <c r="U33" s="3" t="b">
        <v>0</v>
      </c>
      <c r="V33" s="3" t="b">
        <v>1</v>
      </c>
    </row>
    <row r="34" spans="1:22" ht="45" x14ac:dyDescent="0.25">
      <c r="A34" s="3" t="s">
        <v>22</v>
      </c>
      <c r="B34" s="3">
        <v>5</v>
      </c>
      <c r="C34" s="4" t="s">
        <v>23</v>
      </c>
      <c r="D34" s="4" t="s">
        <v>150</v>
      </c>
      <c r="E34" s="3" t="s">
        <v>211</v>
      </c>
      <c r="F34" s="4" t="s">
        <v>212</v>
      </c>
      <c r="G34" s="5">
        <v>18</v>
      </c>
      <c r="H34" s="4" t="s">
        <v>213</v>
      </c>
      <c r="I34" s="6"/>
      <c r="J34" s="7">
        <v>0</v>
      </c>
      <c r="K34" s="8">
        <v>0</v>
      </c>
      <c r="L34" s="9" t="s">
        <v>214</v>
      </c>
      <c r="M34" s="9"/>
      <c r="N34" s="9"/>
      <c r="O34" s="9"/>
      <c r="P34" s="9"/>
      <c r="Q34" s="10">
        <v>17220</v>
      </c>
      <c r="R34" s="10">
        <v>2492</v>
      </c>
      <c r="S34" s="11">
        <v>782.95</v>
      </c>
      <c r="T34" s="3" t="b">
        <v>1</v>
      </c>
      <c r="U34" s="3" t="b">
        <v>0</v>
      </c>
      <c r="V34" s="3" t="b">
        <v>1</v>
      </c>
    </row>
    <row r="35" spans="1:22" ht="45" x14ac:dyDescent="0.25">
      <c r="A35" s="3" t="s">
        <v>22</v>
      </c>
      <c r="B35" s="3">
        <v>5</v>
      </c>
      <c r="C35" s="4" t="s">
        <v>23</v>
      </c>
      <c r="D35" s="4" t="s">
        <v>150</v>
      </c>
      <c r="E35" s="3" t="s">
        <v>215</v>
      </c>
      <c r="F35" s="4" t="s">
        <v>216</v>
      </c>
      <c r="G35" s="5">
        <v>14</v>
      </c>
      <c r="H35" s="4" t="s">
        <v>27</v>
      </c>
      <c r="I35" s="6" t="s">
        <v>35</v>
      </c>
      <c r="J35" s="7">
        <v>1</v>
      </c>
      <c r="K35" s="8">
        <v>7.1</v>
      </c>
      <c r="L35" s="9" t="s">
        <v>217</v>
      </c>
      <c r="M35" s="9" t="s">
        <v>661</v>
      </c>
      <c r="N35" s="9" t="s">
        <v>48</v>
      </c>
      <c r="O35" s="9" t="s">
        <v>662</v>
      </c>
      <c r="P35" s="9" t="s">
        <v>663</v>
      </c>
      <c r="Q35" s="10">
        <v>17220</v>
      </c>
      <c r="R35" s="10">
        <v>2492</v>
      </c>
      <c r="S35" s="11">
        <v>782.95</v>
      </c>
      <c r="T35" s="3" t="b">
        <v>1</v>
      </c>
      <c r="U35" s="3" t="b">
        <v>0</v>
      </c>
      <c r="V35" s="3" t="b">
        <v>1</v>
      </c>
    </row>
    <row r="36" spans="1:22" ht="45" x14ac:dyDescent="0.25">
      <c r="A36" s="3" t="s">
        <v>22</v>
      </c>
      <c r="B36" s="3">
        <v>5</v>
      </c>
      <c r="C36" s="4" t="s">
        <v>23</v>
      </c>
      <c r="D36" s="4" t="s">
        <v>221</v>
      </c>
      <c r="E36" s="3" t="s">
        <v>222</v>
      </c>
      <c r="F36" s="4" t="s">
        <v>223</v>
      </c>
      <c r="G36" s="5">
        <v>12</v>
      </c>
      <c r="H36" s="4" t="s">
        <v>27</v>
      </c>
      <c r="I36" s="6" t="s">
        <v>28</v>
      </c>
      <c r="J36" s="7">
        <v>0</v>
      </c>
      <c r="K36" s="8">
        <v>0</v>
      </c>
      <c r="L36" s="9"/>
      <c r="M36" s="9" t="s">
        <v>224</v>
      </c>
      <c r="N36" s="9" t="s">
        <v>30</v>
      </c>
      <c r="O36" s="9" t="s">
        <v>225</v>
      </c>
      <c r="P36" s="9" t="s">
        <v>226</v>
      </c>
      <c r="Q36" s="10">
        <v>17210</v>
      </c>
      <c r="R36" s="10">
        <v>2648</v>
      </c>
      <c r="S36" s="11">
        <v>821.87</v>
      </c>
      <c r="T36" s="3" t="b">
        <v>1</v>
      </c>
      <c r="U36" s="3" t="b">
        <v>0</v>
      </c>
      <c r="V36" s="3" t="b">
        <v>1</v>
      </c>
    </row>
    <row r="37" spans="1:22" ht="45" x14ac:dyDescent="0.25">
      <c r="A37" s="3" t="s">
        <v>22</v>
      </c>
      <c r="B37" s="3">
        <v>5</v>
      </c>
      <c r="C37" s="4" t="s">
        <v>23</v>
      </c>
      <c r="D37" s="4" t="s">
        <v>221</v>
      </c>
      <c r="E37" s="3" t="s">
        <v>227</v>
      </c>
      <c r="F37" s="4" t="s">
        <v>228</v>
      </c>
      <c r="G37" s="5">
        <v>10</v>
      </c>
      <c r="H37" s="4" t="s">
        <v>27</v>
      </c>
      <c r="I37" s="6" t="s">
        <v>28</v>
      </c>
      <c r="J37" s="7">
        <v>0</v>
      </c>
      <c r="K37" s="8">
        <v>0</v>
      </c>
      <c r="L37" s="9"/>
      <c r="M37" s="9" t="s">
        <v>229</v>
      </c>
      <c r="N37" s="9" t="s">
        <v>30</v>
      </c>
      <c r="O37" s="9" t="s">
        <v>230</v>
      </c>
      <c r="P37" s="9" t="s">
        <v>231</v>
      </c>
      <c r="Q37" s="10">
        <v>17210</v>
      </c>
      <c r="R37" s="10">
        <v>2648</v>
      </c>
      <c r="S37" s="11">
        <v>821.87</v>
      </c>
      <c r="T37" s="3" t="b">
        <v>1</v>
      </c>
      <c r="U37" s="3" t="b">
        <v>0</v>
      </c>
      <c r="V37" s="3" t="b">
        <v>1</v>
      </c>
    </row>
    <row r="38" spans="1:22" ht="45" x14ac:dyDescent="0.25">
      <c r="A38" s="3" t="s">
        <v>22</v>
      </c>
      <c r="B38" s="3">
        <v>5</v>
      </c>
      <c r="C38" s="4" t="s">
        <v>23</v>
      </c>
      <c r="D38" s="4" t="s">
        <v>221</v>
      </c>
      <c r="E38" s="3" t="s">
        <v>232</v>
      </c>
      <c r="F38" s="4" t="s">
        <v>233</v>
      </c>
      <c r="G38" s="5">
        <v>8</v>
      </c>
      <c r="H38" s="4" t="s">
        <v>27</v>
      </c>
      <c r="I38" s="6" t="s">
        <v>28</v>
      </c>
      <c r="J38" s="7">
        <v>0</v>
      </c>
      <c r="K38" s="8">
        <v>0</v>
      </c>
      <c r="L38" s="9"/>
      <c r="M38" s="9" t="s">
        <v>234</v>
      </c>
      <c r="N38" s="9" t="s">
        <v>30</v>
      </c>
      <c r="O38" s="9" t="s">
        <v>235</v>
      </c>
      <c r="P38" s="9" t="s">
        <v>236</v>
      </c>
      <c r="Q38" s="10">
        <v>17210</v>
      </c>
      <c r="R38" s="10">
        <v>2648</v>
      </c>
      <c r="S38" s="11">
        <v>821.87</v>
      </c>
      <c r="T38" s="3" t="b">
        <v>1</v>
      </c>
      <c r="U38" s="3" t="b">
        <v>0</v>
      </c>
      <c r="V38" s="3" t="b">
        <v>1</v>
      </c>
    </row>
    <row r="39" spans="1:22" ht="45" x14ac:dyDescent="0.25">
      <c r="A39" s="3" t="s">
        <v>22</v>
      </c>
      <c r="B39" s="3">
        <v>5</v>
      </c>
      <c r="C39" s="4" t="s">
        <v>23</v>
      </c>
      <c r="D39" s="4" t="s">
        <v>221</v>
      </c>
      <c r="E39" s="3" t="s">
        <v>237</v>
      </c>
      <c r="F39" s="4" t="s">
        <v>238</v>
      </c>
      <c r="G39" s="5">
        <v>10</v>
      </c>
      <c r="H39" s="4" t="s">
        <v>27</v>
      </c>
      <c r="I39" s="6" t="s">
        <v>28</v>
      </c>
      <c r="J39" s="7">
        <v>0</v>
      </c>
      <c r="K39" s="8">
        <v>0</v>
      </c>
      <c r="L39" s="9"/>
      <c r="M39" s="9" t="s">
        <v>239</v>
      </c>
      <c r="N39" s="9" t="s">
        <v>30</v>
      </c>
      <c r="O39" s="9" t="s">
        <v>240</v>
      </c>
      <c r="P39" s="9" t="s">
        <v>241</v>
      </c>
      <c r="Q39" s="10">
        <v>17210</v>
      </c>
      <c r="R39" s="10">
        <v>2648</v>
      </c>
      <c r="S39" s="11">
        <v>821.87</v>
      </c>
      <c r="T39" s="3" t="b">
        <v>1</v>
      </c>
      <c r="U39" s="3" t="b">
        <v>0</v>
      </c>
      <c r="V39" s="3" t="b">
        <v>1</v>
      </c>
    </row>
    <row r="40" spans="1:22" ht="45" x14ac:dyDescent="0.25">
      <c r="A40" s="3" t="s">
        <v>22</v>
      </c>
      <c r="B40" s="3">
        <v>5</v>
      </c>
      <c r="C40" s="4" t="s">
        <v>23</v>
      </c>
      <c r="D40" s="4" t="s">
        <v>221</v>
      </c>
      <c r="E40" s="3" t="s">
        <v>242</v>
      </c>
      <c r="F40" s="4" t="s">
        <v>243</v>
      </c>
      <c r="G40" s="5">
        <v>6</v>
      </c>
      <c r="H40" s="4" t="s">
        <v>27</v>
      </c>
      <c r="I40" s="6" t="s">
        <v>28</v>
      </c>
      <c r="J40" s="7">
        <v>0</v>
      </c>
      <c r="K40" s="8">
        <v>0</v>
      </c>
      <c r="L40" s="9"/>
      <c r="M40" s="9" t="s">
        <v>244</v>
      </c>
      <c r="N40" s="9" t="s">
        <v>30</v>
      </c>
      <c r="O40" s="9" t="s">
        <v>245</v>
      </c>
      <c r="P40" s="9" t="s">
        <v>246</v>
      </c>
      <c r="Q40" s="10">
        <v>17210</v>
      </c>
      <c r="R40" s="10">
        <v>2648</v>
      </c>
      <c r="S40" s="11">
        <v>821.87</v>
      </c>
      <c r="T40" s="3" t="b">
        <v>1</v>
      </c>
      <c r="U40" s="3" t="b">
        <v>0</v>
      </c>
      <c r="V40" s="3" t="b">
        <v>1</v>
      </c>
    </row>
    <row r="41" spans="1:22" ht="45" x14ac:dyDescent="0.25">
      <c r="A41" s="3" t="s">
        <v>22</v>
      </c>
      <c r="B41" s="3">
        <v>5</v>
      </c>
      <c r="C41" s="4" t="s">
        <v>23</v>
      </c>
      <c r="D41" s="4" t="s">
        <v>221</v>
      </c>
      <c r="E41" s="3" t="s">
        <v>247</v>
      </c>
      <c r="F41" s="4" t="s">
        <v>248</v>
      </c>
      <c r="G41" s="5">
        <v>20</v>
      </c>
      <c r="H41" s="4" t="s">
        <v>27</v>
      </c>
      <c r="I41" s="6" t="s">
        <v>28</v>
      </c>
      <c r="J41" s="7">
        <v>0</v>
      </c>
      <c r="K41" s="8">
        <v>0</v>
      </c>
      <c r="L41" s="9"/>
      <c r="M41" s="9" t="s">
        <v>249</v>
      </c>
      <c r="N41" s="9" t="s">
        <v>30</v>
      </c>
      <c r="O41" s="9" t="s">
        <v>250</v>
      </c>
      <c r="P41" s="9" t="s">
        <v>393</v>
      </c>
      <c r="Q41" s="10">
        <v>17210</v>
      </c>
      <c r="R41" s="10">
        <v>2648</v>
      </c>
      <c r="S41" s="11">
        <v>821.87</v>
      </c>
      <c r="T41" s="3" t="b">
        <v>1</v>
      </c>
      <c r="U41" s="3" t="b">
        <v>0</v>
      </c>
      <c r="V41" s="3" t="b">
        <v>1</v>
      </c>
    </row>
    <row r="42" spans="1:22" ht="45" x14ac:dyDescent="0.25">
      <c r="A42" s="3" t="s">
        <v>22</v>
      </c>
      <c r="B42" s="3">
        <v>5</v>
      </c>
      <c r="C42" s="4" t="s">
        <v>23</v>
      </c>
      <c r="D42" s="4" t="s">
        <v>221</v>
      </c>
      <c r="E42" s="3" t="s">
        <v>252</v>
      </c>
      <c r="F42" s="4" t="s">
        <v>253</v>
      </c>
      <c r="G42" s="5">
        <v>12</v>
      </c>
      <c r="H42" s="4" t="s">
        <v>27</v>
      </c>
      <c r="I42" s="6" t="s">
        <v>28</v>
      </c>
      <c r="J42" s="7">
        <v>0</v>
      </c>
      <c r="K42" s="8">
        <v>0</v>
      </c>
      <c r="L42" s="9"/>
      <c r="M42" s="9" t="s">
        <v>254</v>
      </c>
      <c r="N42" s="9" t="s">
        <v>30</v>
      </c>
      <c r="O42" s="9" t="s">
        <v>255</v>
      </c>
      <c r="P42" s="9" t="s">
        <v>394</v>
      </c>
      <c r="Q42" s="10">
        <v>17210</v>
      </c>
      <c r="R42" s="10">
        <v>2648</v>
      </c>
      <c r="S42" s="11">
        <v>821.87</v>
      </c>
      <c r="T42" s="3" t="b">
        <v>1</v>
      </c>
      <c r="U42" s="3" t="b">
        <v>0</v>
      </c>
      <c r="V42" s="3" t="b">
        <v>1</v>
      </c>
    </row>
    <row r="43" spans="1:22" ht="45" x14ac:dyDescent="0.25">
      <c r="A43" s="3" t="s">
        <v>22</v>
      </c>
      <c r="B43" s="3">
        <v>5</v>
      </c>
      <c r="C43" s="4" t="s">
        <v>23</v>
      </c>
      <c r="D43" s="4" t="s">
        <v>221</v>
      </c>
      <c r="E43" s="3" t="s">
        <v>257</v>
      </c>
      <c r="F43" s="4" t="s">
        <v>258</v>
      </c>
      <c r="G43" s="5">
        <v>10</v>
      </c>
      <c r="H43" s="4" t="s">
        <v>27</v>
      </c>
      <c r="I43" s="6" t="s">
        <v>28</v>
      </c>
      <c r="J43" s="7">
        <v>0</v>
      </c>
      <c r="K43" s="8">
        <v>0</v>
      </c>
      <c r="L43" s="9"/>
      <c r="M43" s="9" t="s">
        <v>259</v>
      </c>
      <c r="N43" s="9" t="s">
        <v>30</v>
      </c>
      <c r="O43" s="9" t="s">
        <v>260</v>
      </c>
      <c r="P43" s="9" t="s">
        <v>261</v>
      </c>
      <c r="Q43" s="10">
        <v>17210</v>
      </c>
      <c r="R43" s="10">
        <v>2648</v>
      </c>
      <c r="S43" s="11">
        <v>821.87</v>
      </c>
      <c r="T43" s="3" t="b">
        <v>1</v>
      </c>
      <c r="U43" s="3" t="b">
        <v>0</v>
      </c>
      <c r="V43" s="3" t="b">
        <v>1</v>
      </c>
    </row>
    <row r="44" spans="1:22" ht="45" x14ac:dyDescent="0.25">
      <c r="A44" s="3" t="s">
        <v>22</v>
      </c>
      <c r="B44" s="3">
        <v>5</v>
      </c>
      <c r="C44" s="4" t="s">
        <v>23</v>
      </c>
      <c r="D44" s="4" t="s">
        <v>221</v>
      </c>
      <c r="E44" s="3" t="s">
        <v>262</v>
      </c>
      <c r="F44" s="4" t="s">
        <v>263</v>
      </c>
      <c r="G44" s="5">
        <v>8</v>
      </c>
      <c r="H44" s="4" t="s">
        <v>27</v>
      </c>
      <c r="I44" s="6" t="s">
        <v>28</v>
      </c>
      <c r="J44" s="7">
        <v>0</v>
      </c>
      <c r="K44" s="8">
        <v>0</v>
      </c>
      <c r="L44" s="9"/>
      <c r="M44" s="9" t="s">
        <v>395</v>
      </c>
      <c r="N44" s="9" t="s">
        <v>30</v>
      </c>
      <c r="O44" s="9" t="s">
        <v>664</v>
      </c>
      <c r="P44" s="9" t="s">
        <v>266</v>
      </c>
      <c r="Q44" s="10">
        <v>17210</v>
      </c>
      <c r="R44" s="10">
        <v>2648</v>
      </c>
      <c r="S44" s="11">
        <v>821.87</v>
      </c>
      <c r="T44" s="3" t="b">
        <v>1</v>
      </c>
      <c r="U44" s="3" t="b">
        <v>0</v>
      </c>
      <c r="V44" s="3" t="b">
        <v>1</v>
      </c>
    </row>
    <row r="45" spans="1:22" ht="45" x14ac:dyDescent="0.25">
      <c r="A45" s="3" t="s">
        <v>22</v>
      </c>
      <c r="B45" s="3">
        <v>5</v>
      </c>
      <c r="C45" s="4" t="s">
        <v>23</v>
      </c>
      <c r="D45" s="4" t="s">
        <v>221</v>
      </c>
      <c r="E45" s="3" t="s">
        <v>267</v>
      </c>
      <c r="F45" s="4" t="s">
        <v>268</v>
      </c>
      <c r="G45" s="5">
        <v>14</v>
      </c>
      <c r="H45" s="4" t="s">
        <v>27</v>
      </c>
      <c r="I45" s="6" t="s">
        <v>28</v>
      </c>
      <c r="J45" s="7">
        <v>0</v>
      </c>
      <c r="K45" s="8">
        <v>0</v>
      </c>
      <c r="L45" s="9"/>
      <c r="M45" s="9" t="s">
        <v>269</v>
      </c>
      <c r="N45" s="9" t="s">
        <v>30</v>
      </c>
      <c r="O45" s="9" t="s">
        <v>270</v>
      </c>
      <c r="P45" s="9" t="s">
        <v>271</v>
      </c>
      <c r="Q45" s="10">
        <v>17210</v>
      </c>
      <c r="R45" s="10">
        <v>2648</v>
      </c>
      <c r="S45" s="11">
        <v>821.87</v>
      </c>
      <c r="T45" s="3" t="b">
        <v>1</v>
      </c>
      <c r="U45" s="3" t="b">
        <v>0</v>
      </c>
      <c r="V45" s="3" t="b">
        <v>1</v>
      </c>
    </row>
    <row r="46" spans="1:22" ht="45" x14ac:dyDescent="0.25">
      <c r="A46" s="3" t="s">
        <v>22</v>
      </c>
      <c r="B46" s="3">
        <v>5</v>
      </c>
      <c r="C46" s="4" t="s">
        <v>23</v>
      </c>
      <c r="D46" s="4" t="s">
        <v>221</v>
      </c>
      <c r="E46" s="3" t="s">
        <v>272</v>
      </c>
      <c r="F46" s="4" t="s">
        <v>273</v>
      </c>
      <c r="G46" s="5">
        <v>12</v>
      </c>
      <c r="H46" s="4" t="s">
        <v>27</v>
      </c>
      <c r="I46" s="6" t="s">
        <v>28</v>
      </c>
      <c r="J46" s="7">
        <v>0</v>
      </c>
      <c r="K46" s="8">
        <v>0</v>
      </c>
      <c r="L46" s="9"/>
      <c r="M46" s="9" t="s">
        <v>274</v>
      </c>
      <c r="N46" s="9" t="s">
        <v>30</v>
      </c>
      <c r="O46" s="9" t="s">
        <v>275</v>
      </c>
      <c r="P46" s="9" t="s">
        <v>396</v>
      </c>
      <c r="Q46" s="10">
        <v>17210</v>
      </c>
      <c r="R46" s="10">
        <v>2648</v>
      </c>
      <c r="S46" s="11">
        <v>821.87</v>
      </c>
      <c r="T46" s="3" t="b">
        <v>1</v>
      </c>
      <c r="U46" s="3" t="b">
        <v>0</v>
      </c>
      <c r="V46" s="3" t="b">
        <v>1</v>
      </c>
    </row>
    <row r="47" spans="1:22" ht="45" x14ac:dyDescent="0.25">
      <c r="A47" s="3" t="s">
        <v>22</v>
      </c>
      <c r="B47" s="3">
        <v>5</v>
      </c>
      <c r="C47" s="4" t="s">
        <v>23</v>
      </c>
      <c r="D47" s="4" t="s">
        <v>221</v>
      </c>
      <c r="E47" s="3" t="s">
        <v>277</v>
      </c>
      <c r="F47" s="4" t="s">
        <v>278</v>
      </c>
      <c r="G47" s="5">
        <v>10</v>
      </c>
      <c r="H47" s="4" t="s">
        <v>27</v>
      </c>
      <c r="I47" s="6" t="s">
        <v>28</v>
      </c>
      <c r="J47" s="7">
        <v>0</v>
      </c>
      <c r="K47" s="8">
        <v>0</v>
      </c>
      <c r="L47" s="9"/>
      <c r="M47" s="9" t="s">
        <v>279</v>
      </c>
      <c r="N47" s="9" t="s">
        <v>30</v>
      </c>
      <c r="O47" s="9" t="s">
        <v>280</v>
      </c>
      <c r="P47" s="9" t="s">
        <v>397</v>
      </c>
      <c r="Q47" s="10">
        <v>17210</v>
      </c>
      <c r="R47" s="10">
        <v>2648</v>
      </c>
      <c r="S47" s="11">
        <v>821.87</v>
      </c>
      <c r="T47" s="3" t="b">
        <v>1</v>
      </c>
      <c r="U47" s="3" t="b">
        <v>0</v>
      </c>
      <c r="V47" s="3" t="b">
        <v>1</v>
      </c>
    </row>
    <row r="48" spans="1:22" ht="45" x14ac:dyDescent="0.25">
      <c r="A48" s="3" t="s">
        <v>22</v>
      </c>
      <c r="B48" s="3">
        <v>5</v>
      </c>
      <c r="C48" s="4" t="s">
        <v>23</v>
      </c>
      <c r="D48" s="4" t="s">
        <v>221</v>
      </c>
      <c r="E48" s="3" t="s">
        <v>282</v>
      </c>
      <c r="F48" s="4" t="s">
        <v>283</v>
      </c>
      <c r="G48" s="5">
        <v>8</v>
      </c>
      <c r="H48" s="4" t="s">
        <v>27</v>
      </c>
      <c r="I48" s="6" t="s">
        <v>28</v>
      </c>
      <c r="J48" s="7">
        <v>0</v>
      </c>
      <c r="K48" s="8">
        <v>0</v>
      </c>
      <c r="L48" s="9"/>
      <c r="M48" s="9" t="s">
        <v>284</v>
      </c>
      <c r="N48" s="9" t="s">
        <v>30</v>
      </c>
      <c r="O48" s="9" t="s">
        <v>665</v>
      </c>
      <c r="P48" s="9" t="s">
        <v>286</v>
      </c>
      <c r="Q48" s="10">
        <v>17210</v>
      </c>
      <c r="R48" s="10">
        <v>2648</v>
      </c>
      <c r="S48" s="11">
        <v>821.87</v>
      </c>
      <c r="T48" s="3" t="b">
        <v>1</v>
      </c>
      <c r="U48" s="3" t="b">
        <v>0</v>
      </c>
      <c r="V48" s="3" t="b">
        <v>1</v>
      </c>
    </row>
  </sheetData>
  <autoFilter ref="A1:V48" xr:uid="{00000000-0009-0000-0000-000004000000}"/>
  <conditionalFormatting sqref="D2:D48">
    <cfRule type="containsText" dxfId="202" priority="16" operator="containsText" text="Climate And Resilience">
      <formula>NOT(ISERROR(SEARCH("Climate And Resilience",D2)))</formula>
    </cfRule>
    <cfRule type="containsText" dxfId="201" priority="17" operator="containsText" text="Leadership">
      <formula>NOT(ISERROR(SEARCH("Leadership",D2)))</formula>
    </cfRule>
    <cfRule type="containsText" dxfId="200" priority="18" operator="containsText" text="Natural World">
      <formula>NOT(ISERROR(SEARCH("Natural World",D2)))</formula>
    </cfRule>
    <cfRule type="containsText" dxfId="199" priority="19" operator="containsText" text="Quality Of Life">
      <formula>NOT(ISERROR(SEARCH("Quality Of Life",D2)))</formula>
    </cfRule>
    <cfRule type="containsText" dxfId="198" priority="20" operator="containsText" text="Resource Allocation">
      <formula>NOT(ISERROR(SEARCH("Resource Allocation",D2)))</formula>
    </cfRule>
  </conditionalFormatting>
  <conditionalFormatting sqref="G2:G48">
    <cfRule type="dataBar" priority="21">
      <dataBar>
        <cfvo type="min"/>
        <cfvo type="max"/>
        <color rgb="FF5B9BD5"/>
      </dataBar>
    </cfRule>
  </conditionalFormatting>
  <conditionalFormatting sqref="H2:H48">
    <cfRule type="containsText" dxfId="197" priority="8" operator="containsText" text="Not Applicable">
      <formula>NOT(ISERROR(SEARCH("Not Applicable",H2)))</formula>
    </cfRule>
    <cfRule type="containsText" dxfId="196" priority="9" operator="containsText" text="Applicable">
      <formula>NOT(ISERROR(SEARCH("Applicable",H2)))</formula>
    </cfRule>
  </conditionalFormatting>
  <conditionalFormatting sqref="I2:I48">
    <cfRule type="containsText" dxfId="195" priority="2" operator="containsText" text="No Level">
      <formula>NOT(ISERROR(SEARCH("No Level",I2)))</formula>
    </cfRule>
    <cfRule type="containsText" dxfId="194" priority="3" operator="containsText" text="Improved">
      <formula>NOT(ISERROR(SEARCH("Improved",I2)))</formula>
    </cfRule>
    <cfRule type="containsText" dxfId="193" priority="4" operator="containsText" text="Enhanced">
      <formula>NOT(ISERROR(SEARCH("Enhanced",I2)))</formula>
    </cfRule>
    <cfRule type="containsText" dxfId="192" priority="5" operator="containsText" text="Superior">
      <formula>NOT(ISERROR(SEARCH("Superior",I2)))</formula>
    </cfRule>
    <cfRule type="containsText" dxfId="191" priority="6" operator="containsText" text="Conserving">
      <formula>NOT(ISERROR(SEARCH("Conserving",I2)))</formula>
    </cfRule>
    <cfRule type="containsText" dxfId="190" priority="7" operator="containsText" text="Restorative">
      <formula>NOT(ISERROR(SEARCH("Restorative",I2)))</formula>
    </cfRule>
  </conditionalFormatting>
  <conditionalFormatting sqref="J2:J48">
    <cfRule type="dataBar" priority="22">
      <dataBar>
        <cfvo type="min"/>
        <cfvo type="max"/>
        <color rgb="FF70AD47"/>
      </dataBar>
    </cfRule>
  </conditionalFormatting>
  <conditionalFormatting sqref="K2:K4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48">
    <cfRule type="dataBar" priority="23">
      <dataBar>
        <cfvo type="min"/>
        <cfvo type="max"/>
        <color rgb="FFA5A5A5"/>
      </dataBar>
    </cfRule>
  </conditionalFormatting>
  <conditionalFormatting sqref="S2:S48">
    <cfRule type="dataBar" priority="24">
      <dataBar>
        <cfvo type="min"/>
        <cfvo type="max"/>
        <color rgb="FFED7D31"/>
      </dataBar>
    </cfRule>
  </conditionalFormatting>
  <conditionalFormatting sqref="T2:T48">
    <cfRule type="cellIs" dxfId="189" priority="10" operator="equal">
      <formula>TRUE</formula>
    </cfRule>
    <cfRule type="cellIs" dxfId="188" priority="11" operator="equal">
      <formula>FALSE</formula>
    </cfRule>
  </conditionalFormatting>
  <conditionalFormatting sqref="U2:U48">
    <cfRule type="cellIs" dxfId="187" priority="12" operator="equal">
      <formula>TRUE</formula>
    </cfRule>
    <cfRule type="cellIs" dxfId="186" priority="13" operator="equal">
      <formula>FALSE</formula>
    </cfRule>
  </conditionalFormatting>
  <conditionalFormatting sqref="V2:V48">
    <cfRule type="cellIs" dxfId="185" priority="14" operator="equal">
      <formula>TRUE</formula>
    </cfRule>
    <cfRule type="cellIs" dxfId="184" priority="15" operator="equal">
      <formula>FALSE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6"/>
  <sheetViews>
    <sheetView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ht="75" x14ac:dyDescent="0.25">
      <c r="A2" s="3" t="s">
        <v>666</v>
      </c>
      <c r="B2" s="3">
        <v>1</v>
      </c>
      <c r="C2" s="4" t="s">
        <v>23</v>
      </c>
      <c r="D2" s="4" t="s">
        <v>24</v>
      </c>
      <c r="E2" s="3" t="s">
        <v>667</v>
      </c>
      <c r="F2" s="4" t="s">
        <v>668</v>
      </c>
      <c r="G2" s="5"/>
      <c r="H2" s="4" t="s">
        <v>27</v>
      </c>
      <c r="I2" s="6" t="s">
        <v>28</v>
      </c>
      <c r="J2" s="7">
        <v>0</v>
      </c>
      <c r="K2" s="8"/>
      <c r="L2" s="9"/>
      <c r="M2" s="9" t="s">
        <v>669</v>
      </c>
      <c r="N2" s="9" t="s">
        <v>670</v>
      </c>
      <c r="O2" s="9" t="s">
        <v>671</v>
      </c>
      <c r="P2" s="9" t="s">
        <v>672</v>
      </c>
      <c r="Q2" s="10">
        <v>22526</v>
      </c>
      <c r="R2" s="10">
        <v>2626</v>
      </c>
      <c r="S2" s="11">
        <v>1278.94</v>
      </c>
      <c r="T2" s="3" t="b">
        <v>1</v>
      </c>
      <c r="U2" s="3" t="b">
        <v>0</v>
      </c>
      <c r="V2" s="3" t="b">
        <v>1</v>
      </c>
    </row>
    <row r="3" spans="1:22" ht="75" x14ac:dyDescent="0.25">
      <c r="A3" s="3" t="s">
        <v>666</v>
      </c>
      <c r="B3" s="3">
        <v>1</v>
      </c>
      <c r="C3" s="4" t="s">
        <v>23</v>
      </c>
      <c r="D3" s="4" t="s">
        <v>24</v>
      </c>
      <c r="E3" s="3" t="s">
        <v>673</v>
      </c>
      <c r="F3" s="4" t="s">
        <v>674</v>
      </c>
      <c r="G3" s="5"/>
      <c r="H3" s="4" t="s">
        <v>27</v>
      </c>
      <c r="I3" s="6" t="s">
        <v>28</v>
      </c>
      <c r="J3" s="7">
        <v>0</v>
      </c>
      <c r="K3" s="8"/>
      <c r="L3" s="9"/>
      <c r="M3" s="9" t="s">
        <v>675</v>
      </c>
      <c r="N3" s="9" t="s">
        <v>30</v>
      </c>
      <c r="O3" s="9" t="s">
        <v>676</v>
      </c>
      <c r="P3" s="9" t="s">
        <v>677</v>
      </c>
      <c r="Q3" s="10">
        <v>22526</v>
      </c>
      <c r="R3" s="10">
        <v>2626</v>
      </c>
      <c r="S3" s="11">
        <v>1278.94</v>
      </c>
      <c r="T3" s="3" t="b">
        <v>1</v>
      </c>
      <c r="U3" s="3" t="b">
        <v>0</v>
      </c>
      <c r="V3" s="3" t="b">
        <v>1</v>
      </c>
    </row>
    <row r="4" spans="1:22" ht="75" x14ac:dyDescent="0.25">
      <c r="A4" s="3" t="s">
        <v>666</v>
      </c>
      <c r="B4" s="3">
        <v>1</v>
      </c>
      <c r="C4" s="4" t="s">
        <v>23</v>
      </c>
      <c r="D4" s="4" t="s">
        <v>24</v>
      </c>
      <c r="E4" s="3" t="s">
        <v>678</v>
      </c>
      <c r="F4" s="4" t="s">
        <v>679</v>
      </c>
      <c r="G4" s="5"/>
      <c r="H4" s="4" t="s">
        <v>27</v>
      </c>
      <c r="I4" s="6" t="s">
        <v>28</v>
      </c>
      <c r="J4" s="7">
        <v>0</v>
      </c>
      <c r="K4" s="8"/>
      <c r="L4" s="9"/>
      <c r="M4" s="9" t="s">
        <v>680</v>
      </c>
      <c r="N4" s="9" t="s">
        <v>30</v>
      </c>
      <c r="O4" s="9" t="s">
        <v>681</v>
      </c>
      <c r="P4" s="9" t="s">
        <v>682</v>
      </c>
      <c r="Q4" s="10">
        <v>22526</v>
      </c>
      <c r="R4" s="10">
        <v>2626</v>
      </c>
      <c r="S4" s="11">
        <v>1278.94</v>
      </c>
      <c r="T4" s="3" t="b">
        <v>1</v>
      </c>
      <c r="U4" s="3" t="b">
        <v>0</v>
      </c>
      <c r="V4" s="3" t="b">
        <v>1</v>
      </c>
    </row>
    <row r="5" spans="1:22" ht="75" x14ac:dyDescent="0.25">
      <c r="A5" s="3" t="s">
        <v>666</v>
      </c>
      <c r="B5" s="3">
        <v>1</v>
      </c>
      <c r="C5" s="4" t="s">
        <v>23</v>
      </c>
      <c r="D5" s="4" t="s">
        <v>24</v>
      </c>
      <c r="E5" s="3" t="s">
        <v>25</v>
      </c>
      <c r="F5" s="4" t="s">
        <v>26</v>
      </c>
      <c r="G5" s="5"/>
      <c r="H5" s="4" t="s">
        <v>27</v>
      </c>
      <c r="I5" s="6" t="s">
        <v>28</v>
      </c>
      <c r="J5" s="7">
        <v>0</v>
      </c>
      <c r="K5" s="8"/>
      <c r="L5" s="9"/>
      <c r="M5" s="9" t="s">
        <v>683</v>
      </c>
      <c r="N5" s="9" t="s">
        <v>30</v>
      </c>
      <c r="O5" s="9" t="s">
        <v>684</v>
      </c>
      <c r="P5" s="9" t="s">
        <v>685</v>
      </c>
      <c r="Q5" s="10">
        <v>22526</v>
      </c>
      <c r="R5" s="10">
        <v>2626</v>
      </c>
      <c r="S5" s="11">
        <v>1278.94</v>
      </c>
      <c r="T5" s="3" t="b">
        <v>1</v>
      </c>
      <c r="U5" s="3" t="b">
        <v>0</v>
      </c>
      <c r="V5" s="3" t="b">
        <v>1</v>
      </c>
    </row>
    <row r="6" spans="1:22" ht="75" x14ac:dyDescent="0.25">
      <c r="A6" s="3" t="s">
        <v>666</v>
      </c>
      <c r="B6" s="3">
        <v>1</v>
      </c>
      <c r="C6" s="4" t="s">
        <v>23</v>
      </c>
      <c r="D6" s="4" t="s">
        <v>24</v>
      </c>
      <c r="E6" s="3" t="s">
        <v>33</v>
      </c>
      <c r="F6" s="4" t="s">
        <v>34</v>
      </c>
      <c r="G6" s="5"/>
      <c r="H6" s="4" t="s">
        <v>27</v>
      </c>
      <c r="I6" s="6" t="s">
        <v>28</v>
      </c>
      <c r="J6" s="7">
        <v>0</v>
      </c>
      <c r="K6" s="8"/>
      <c r="L6" s="9"/>
      <c r="M6" s="9" t="s">
        <v>686</v>
      </c>
      <c r="N6" s="9" t="s">
        <v>30</v>
      </c>
      <c r="O6" s="9" t="s">
        <v>687</v>
      </c>
      <c r="P6" s="9" t="s">
        <v>688</v>
      </c>
      <c r="Q6" s="10">
        <v>22526</v>
      </c>
      <c r="R6" s="10">
        <v>2626</v>
      </c>
      <c r="S6" s="11">
        <v>1278.94</v>
      </c>
      <c r="T6" s="3" t="b">
        <v>1</v>
      </c>
      <c r="U6" s="3" t="b">
        <v>0</v>
      </c>
      <c r="V6" s="3" t="b">
        <v>1</v>
      </c>
    </row>
    <row r="7" spans="1:22" ht="75" x14ac:dyDescent="0.25">
      <c r="A7" s="3" t="s">
        <v>666</v>
      </c>
      <c r="B7" s="3">
        <v>1</v>
      </c>
      <c r="C7" s="4" t="s">
        <v>23</v>
      </c>
      <c r="D7" s="4" t="s">
        <v>24</v>
      </c>
      <c r="E7" s="3" t="s">
        <v>39</v>
      </c>
      <c r="F7" s="4" t="s">
        <v>40</v>
      </c>
      <c r="G7" s="5"/>
      <c r="H7" s="4" t="s">
        <v>27</v>
      </c>
      <c r="I7" s="6" t="s">
        <v>28</v>
      </c>
      <c r="J7" s="7">
        <v>0</v>
      </c>
      <c r="K7" s="8"/>
      <c r="L7" s="9"/>
      <c r="M7" s="9" t="s">
        <v>689</v>
      </c>
      <c r="N7" s="9" t="s">
        <v>42</v>
      </c>
      <c r="O7" s="9" t="s">
        <v>43</v>
      </c>
      <c r="P7" s="9" t="s">
        <v>690</v>
      </c>
      <c r="Q7" s="10">
        <v>22526</v>
      </c>
      <c r="R7" s="10">
        <v>2626</v>
      </c>
      <c r="S7" s="11">
        <v>1278.94</v>
      </c>
      <c r="T7" s="3" t="b">
        <v>1</v>
      </c>
      <c r="U7" s="3" t="b">
        <v>0</v>
      </c>
      <c r="V7" s="3" t="b">
        <v>1</v>
      </c>
    </row>
    <row r="8" spans="1:22" ht="75" x14ac:dyDescent="0.25">
      <c r="A8" s="3" t="s">
        <v>666</v>
      </c>
      <c r="B8" s="3">
        <v>1</v>
      </c>
      <c r="C8" s="4" t="s">
        <v>23</v>
      </c>
      <c r="D8" s="4" t="s">
        <v>24</v>
      </c>
      <c r="E8" s="3" t="s">
        <v>45</v>
      </c>
      <c r="F8" s="4" t="s">
        <v>46</v>
      </c>
      <c r="G8" s="5"/>
      <c r="H8" s="4" t="s">
        <v>27</v>
      </c>
      <c r="I8" s="6" t="s">
        <v>28</v>
      </c>
      <c r="J8" s="7">
        <v>0</v>
      </c>
      <c r="K8" s="8"/>
      <c r="L8" s="9"/>
      <c r="M8" s="9" t="s">
        <v>691</v>
      </c>
      <c r="N8" s="9" t="s">
        <v>48</v>
      </c>
      <c r="O8" s="9" t="s">
        <v>692</v>
      </c>
      <c r="P8" s="9" t="s">
        <v>693</v>
      </c>
      <c r="Q8" s="10">
        <v>22526</v>
      </c>
      <c r="R8" s="10">
        <v>2626</v>
      </c>
      <c r="S8" s="11">
        <v>1278.94</v>
      </c>
      <c r="T8" s="3" t="b">
        <v>1</v>
      </c>
      <c r="U8" s="3" t="b">
        <v>0</v>
      </c>
      <c r="V8" s="3" t="b">
        <v>1</v>
      </c>
    </row>
    <row r="9" spans="1:22" ht="75" x14ac:dyDescent="0.25">
      <c r="A9" s="3" t="s">
        <v>666</v>
      </c>
      <c r="B9" s="3">
        <v>1</v>
      </c>
      <c r="C9" s="4" t="s">
        <v>23</v>
      </c>
      <c r="D9" s="4" t="s">
        <v>24</v>
      </c>
      <c r="E9" s="3" t="s">
        <v>51</v>
      </c>
      <c r="F9" s="4" t="s">
        <v>52</v>
      </c>
      <c r="G9" s="5"/>
      <c r="H9" s="4" t="s">
        <v>27</v>
      </c>
      <c r="I9" s="6" t="s">
        <v>28</v>
      </c>
      <c r="J9" s="7">
        <v>0</v>
      </c>
      <c r="K9" s="8"/>
      <c r="L9" s="9"/>
      <c r="M9" s="9" t="s">
        <v>694</v>
      </c>
      <c r="N9" s="9" t="s">
        <v>42</v>
      </c>
      <c r="O9" s="9" t="s">
        <v>54</v>
      </c>
      <c r="P9" s="9" t="s">
        <v>695</v>
      </c>
      <c r="Q9" s="10">
        <v>22526</v>
      </c>
      <c r="R9" s="10">
        <v>2626</v>
      </c>
      <c r="S9" s="11">
        <v>1278.94</v>
      </c>
      <c r="T9" s="3" t="b">
        <v>1</v>
      </c>
      <c r="U9" s="3" t="b">
        <v>0</v>
      </c>
      <c r="V9" s="3" t="b">
        <v>1</v>
      </c>
    </row>
    <row r="10" spans="1:22" ht="75" x14ac:dyDescent="0.25">
      <c r="A10" s="3" t="s">
        <v>666</v>
      </c>
      <c r="B10" s="3">
        <v>1</v>
      </c>
      <c r="C10" s="4" t="s">
        <v>23</v>
      </c>
      <c r="D10" s="4" t="s">
        <v>24</v>
      </c>
      <c r="E10" s="3" t="s">
        <v>56</v>
      </c>
      <c r="F10" s="4" t="s">
        <v>57</v>
      </c>
      <c r="G10" s="5"/>
      <c r="H10" s="4" t="s">
        <v>27</v>
      </c>
      <c r="I10" s="6" t="s">
        <v>28</v>
      </c>
      <c r="J10" s="7">
        <v>0</v>
      </c>
      <c r="K10" s="8"/>
      <c r="L10" s="9"/>
      <c r="M10" s="9" t="s">
        <v>696</v>
      </c>
      <c r="N10" s="9" t="s">
        <v>307</v>
      </c>
      <c r="O10" s="9" t="s">
        <v>697</v>
      </c>
      <c r="P10" s="9" t="s">
        <v>698</v>
      </c>
      <c r="Q10" s="10">
        <v>22526</v>
      </c>
      <c r="R10" s="10">
        <v>2626</v>
      </c>
      <c r="S10" s="11">
        <v>1278.94</v>
      </c>
      <c r="T10" s="3" t="b">
        <v>1</v>
      </c>
      <c r="U10" s="3" t="b">
        <v>0</v>
      </c>
      <c r="V10" s="3" t="b">
        <v>1</v>
      </c>
    </row>
    <row r="11" spans="1:22" ht="75" x14ac:dyDescent="0.25">
      <c r="A11" s="3" t="s">
        <v>666</v>
      </c>
      <c r="B11" s="3">
        <v>1</v>
      </c>
      <c r="C11" s="4" t="s">
        <v>23</v>
      </c>
      <c r="D11" s="4" t="s">
        <v>61</v>
      </c>
      <c r="E11" s="3" t="s">
        <v>62</v>
      </c>
      <c r="F11" s="4" t="s">
        <v>63</v>
      </c>
      <c r="G11" s="5"/>
      <c r="H11" s="4" t="s">
        <v>27</v>
      </c>
      <c r="I11" s="6" t="s">
        <v>35</v>
      </c>
      <c r="J11" s="7">
        <v>2</v>
      </c>
      <c r="K11" s="8"/>
      <c r="L11" s="9"/>
      <c r="M11" s="9" t="s">
        <v>699</v>
      </c>
      <c r="N11" s="9" t="s">
        <v>48</v>
      </c>
      <c r="O11" s="9" t="s">
        <v>700</v>
      </c>
      <c r="P11" s="9" t="s">
        <v>701</v>
      </c>
      <c r="Q11" s="10">
        <v>24260</v>
      </c>
      <c r="R11" s="10">
        <v>3255</v>
      </c>
      <c r="S11" s="11">
        <v>1177.26</v>
      </c>
      <c r="T11" s="3" t="b">
        <v>1</v>
      </c>
      <c r="U11" s="3" t="b">
        <v>0</v>
      </c>
      <c r="V11" s="3" t="b">
        <v>1</v>
      </c>
    </row>
    <row r="12" spans="1:22" ht="75" x14ac:dyDescent="0.25">
      <c r="A12" s="3" t="s">
        <v>666</v>
      </c>
      <c r="B12" s="3">
        <v>1</v>
      </c>
      <c r="C12" s="4" t="s">
        <v>23</v>
      </c>
      <c r="D12" s="4" t="s">
        <v>61</v>
      </c>
      <c r="E12" s="3" t="s">
        <v>67</v>
      </c>
      <c r="F12" s="4" t="s">
        <v>68</v>
      </c>
      <c r="G12" s="5"/>
      <c r="H12" s="4" t="s">
        <v>27</v>
      </c>
      <c r="I12" s="6" t="s">
        <v>35</v>
      </c>
      <c r="J12" s="7">
        <v>2</v>
      </c>
      <c r="K12" s="8"/>
      <c r="L12" s="9"/>
      <c r="M12" s="9" t="s">
        <v>702</v>
      </c>
      <c r="N12" s="9" t="s">
        <v>48</v>
      </c>
      <c r="O12" s="9" t="s">
        <v>703</v>
      </c>
      <c r="P12" s="9" t="s">
        <v>704</v>
      </c>
      <c r="Q12" s="10">
        <v>24260</v>
      </c>
      <c r="R12" s="10">
        <v>3255</v>
      </c>
      <c r="S12" s="11">
        <v>1177.26</v>
      </c>
      <c r="T12" s="3" t="b">
        <v>1</v>
      </c>
      <c r="U12" s="3" t="b">
        <v>0</v>
      </c>
      <c r="V12" s="3" t="b">
        <v>1</v>
      </c>
    </row>
    <row r="13" spans="1:22" ht="75" x14ac:dyDescent="0.25">
      <c r="A13" s="3" t="s">
        <v>666</v>
      </c>
      <c r="B13" s="3">
        <v>1</v>
      </c>
      <c r="C13" s="4" t="s">
        <v>23</v>
      </c>
      <c r="D13" s="4" t="s">
        <v>61</v>
      </c>
      <c r="E13" s="3" t="s">
        <v>72</v>
      </c>
      <c r="F13" s="4" t="s">
        <v>705</v>
      </c>
      <c r="G13" s="5"/>
      <c r="H13" s="4" t="s">
        <v>27</v>
      </c>
      <c r="I13" s="6" t="s">
        <v>35</v>
      </c>
      <c r="J13" s="7">
        <v>3</v>
      </c>
      <c r="K13" s="8"/>
      <c r="L13" s="9"/>
      <c r="M13" s="9" t="s">
        <v>706</v>
      </c>
      <c r="N13" s="9" t="s">
        <v>707</v>
      </c>
      <c r="O13" s="9" t="s">
        <v>708</v>
      </c>
      <c r="P13" s="9" t="s">
        <v>709</v>
      </c>
      <c r="Q13" s="10">
        <v>24260</v>
      </c>
      <c r="R13" s="10">
        <v>3255</v>
      </c>
      <c r="S13" s="11">
        <v>1177.26</v>
      </c>
      <c r="T13" s="3" t="b">
        <v>1</v>
      </c>
      <c r="U13" s="3" t="b">
        <v>0</v>
      </c>
      <c r="V13" s="3" t="b">
        <v>1</v>
      </c>
    </row>
    <row r="14" spans="1:22" ht="75" x14ac:dyDescent="0.25">
      <c r="A14" s="3" t="s">
        <v>666</v>
      </c>
      <c r="B14" s="3">
        <v>1</v>
      </c>
      <c r="C14" s="4" t="s">
        <v>23</v>
      </c>
      <c r="D14" s="4" t="s">
        <v>61</v>
      </c>
      <c r="E14" s="3" t="s">
        <v>77</v>
      </c>
      <c r="F14" s="4" t="s">
        <v>78</v>
      </c>
      <c r="G14" s="5"/>
      <c r="H14" s="4" t="s">
        <v>27</v>
      </c>
      <c r="I14" s="6" t="s">
        <v>35</v>
      </c>
      <c r="J14" s="7">
        <v>3</v>
      </c>
      <c r="K14" s="8"/>
      <c r="L14" s="9"/>
      <c r="M14" s="9" t="s">
        <v>710</v>
      </c>
      <c r="N14" s="9" t="s">
        <v>707</v>
      </c>
      <c r="O14" s="9" t="s">
        <v>711</v>
      </c>
      <c r="P14" s="9" t="s">
        <v>712</v>
      </c>
      <c r="Q14" s="10">
        <v>24260</v>
      </c>
      <c r="R14" s="10">
        <v>3255</v>
      </c>
      <c r="S14" s="11">
        <v>1177.26</v>
      </c>
      <c r="T14" s="3" t="b">
        <v>1</v>
      </c>
      <c r="U14" s="3" t="b">
        <v>0</v>
      </c>
      <c r="V14" s="3" t="b">
        <v>1</v>
      </c>
    </row>
    <row r="15" spans="1:22" ht="75" x14ac:dyDescent="0.25">
      <c r="A15" s="3" t="s">
        <v>666</v>
      </c>
      <c r="B15" s="3">
        <v>1</v>
      </c>
      <c r="C15" s="4" t="s">
        <v>23</v>
      </c>
      <c r="D15" s="4" t="s">
        <v>61</v>
      </c>
      <c r="E15" s="3" t="s">
        <v>82</v>
      </c>
      <c r="F15" s="4" t="s">
        <v>83</v>
      </c>
      <c r="G15" s="5"/>
      <c r="H15" s="4" t="s">
        <v>27</v>
      </c>
      <c r="I15" s="6" t="s">
        <v>35</v>
      </c>
      <c r="J15" s="7">
        <v>4</v>
      </c>
      <c r="K15" s="8"/>
      <c r="L15" s="9"/>
      <c r="M15" s="9" t="s">
        <v>713</v>
      </c>
      <c r="N15" s="9" t="s">
        <v>707</v>
      </c>
      <c r="O15" s="9" t="s">
        <v>85</v>
      </c>
      <c r="P15" s="9" t="s">
        <v>714</v>
      </c>
      <c r="Q15" s="10">
        <v>24260</v>
      </c>
      <c r="R15" s="10">
        <v>3255</v>
      </c>
      <c r="S15" s="11">
        <v>1177.26</v>
      </c>
      <c r="T15" s="3" t="b">
        <v>1</v>
      </c>
      <c r="U15" s="3" t="b">
        <v>0</v>
      </c>
      <c r="V15" s="3" t="b">
        <v>1</v>
      </c>
    </row>
    <row r="16" spans="1:22" ht="75" x14ac:dyDescent="0.25">
      <c r="A16" s="3" t="s">
        <v>666</v>
      </c>
      <c r="B16" s="3">
        <v>1</v>
      </c>
      <c r="C16" s="4" t="s">
        <v>23</v>
      </c>
      <c r="D16" s="4" t="s">
        <v>61</v>
      </c>
      <c r="E16" s="3" t="s">
        <v>87</v>
      </c>
      <c r="F16" s="4" t="s">
        <v>88</v>
      </c>
      <c r="G16" s="5"/>
      <c r="H16" s="4" t="s">
        <v>27</v>
      </c>
      <c r="I16" s="6" t="s">
        <v>35</v>
      </c>
      <c r="J16" s="7">
        <v>4</v>
      </c>
      <c r="K16" s="8"/>
      <c r="L16" s="9"/>
      <c r="M16" s="9" t="s">
        <v>715</v>
      </c>
      <c r="N16" s="9" t="s">
        <v>707</v>
      </c>
      <c r="O16" s="9" t="s">
        <v>716</v>
      </c>
      <c r="P16" s="9" t="s">
        <v>717</v>
      </c>
      <c r="Q16" s="10">
        <v>24260</v>
      </c>
      <c r="R16" s="10">
        <v>3255</v>
      </c>
      <c r="S16" s="11">
        <v>1177.26</v>
      </c>
      <c r="T16" s="3" t="b">
        <v>1</v>
      </c>
      <c r="U16" s="3" t="b">
        <v>0</v>
      </c>
      <c r="V16" s="3" t="b">
        <v>1</v>
      </c>
    </row>
    <row r="17" spans="1:22" ht="75" x14ac:dyDescent="0.25">
      <c r="A17" s="3" t="s">
        <v>666</v>
      </c>
      <c r="B17" s="3">
        <v>1</v>
      </c>
      <c r="C17" s="4" t="s">
        <v>23</v>
      </c>
      <c r="D17" s="4" t="s">
        <v>61</v>
      </c>
      <c r="E17" s="3" t="s">
        <v>92</v>
      </c>
      <c r="F17" s="4" t="s">
        <v>718</v>
      </c>
      <c r="G17" s="5"/>
      <c r="H17" s="4" t="s">
        <v>27</v>
      </c>
      <c r="I17" s="6" t="s">
        <v>35</v>
      </c>
      <c r="J17" s="7">
        <v>2</v>
      </c>
      <c r="K17" s="8"/>
      <c r="L17" s="9"/>
      <c r="M17" s="9" t="s">
        <v>719</v>
      </c>
      <c r="N17" s="9" t="s">
        <v>720</v>
      </c>
      <c r="O17" s="9" t="s">
        <v>721</v>
      </c>
      <c r="P17" s="9" t="s">
        <v>722</v>
      </c>
      <c r="Q17" s="10">
        <v>24260</v>
      </c>
      <c r="R17" s="10">
        <v>3255</v>
      </c>
      <c r="S17" s="11">
        <v>1177.26</v>
      </c>
      <c r="T17" s="3" t="b">
        <v>1</v>
      </c>
      <c r="U17" s="3" t="b">
        <v>0</v>
      </c>
      <c r="V17" s="3" t="b">
        <v>1</v>
      </c>
    </row>
    <row r="18" spans="1:22" ht="75" x14ac:dyDescent="0.25">
      <c r="A18" s="3" t="s">
        <v>666</v>
      </c>
      <c r="B18" s="3">
        <v>1</v>
      </c>
      <c r="C18" s="4" t="s">
        <v>23</v>
      </c>
      <c r="D18" s="4" t="s">
        <v>61</v>
      </c>
      <c r="E18" s="3" t="s">
        <v>723</v>
      </c>
      <c r="F18" s="4" t="s">
        <v>724</v>
      </c>
      <c r="G18" s="5"/>
      <c r="H18" s="4" t="s">
        <v>27</v>
      </c>
      <c r="I18" s="6" t="s">
        <v>35</v>
      </c>
      <c r="J18" s="7">
        <v>2</v>
      </c>
      <c r="K18" s="8"/>
      <c r="L18" s="9"/>
      <c r="M18" s="9" t="s">
        <v>725</v>
      </c>
      <c r="N18" s="9" t="s">
        <v>707</v>
      </c>
      <c r="O18" s="9" t="s">
        <v>726</v>
      </c>
      <c r="P18" s="9" t="s">
        <v>727</v>
      </c>
      <c r="Q18" s="10">
        <v>24260</v>
      </c>
      <c r="R18" s="10">
        <v>3255</v>
      </c>
      <c r="S18" s="11">
        <v>1177.26</v>
      </c>
      <c r="T18" s="3" t="b">
        <v>1</v>
      </c>
      <c r="U18" s="3" t="b">
        <v>0</v>
      </c>
      <c r="V18" s="3" t="b">
        <v>1</v>
      </c>
    </row>
    <row r="19" spans="1:22" ht="75" x14ac:dyDescent="0.25">
      <c r="A19" s="3" t="s">
        <v>666</v>
      </c>
      <c r="B19" s="3">
        <v>1</v>
      </c>
      <c r="C19" s="4" t="s">
        <v>23</v>
      </c>
      <c r="D19" s="4" t="s">
        <v>61</v>
      </c>
      <c r="E19" s="3" t="s">
        <v>97</v>
      </c>
      <c r="F19" s="4" t="s">
        <v>728</v>
      </c>
      <c r="G19" s="5"/>
      <c r="H19" s="4" t="s">
        <v>27</v>
      </c>
      <c r="I19" s="6" t="s">
        <v>35</v>
      </c>
      <c r="J19" s="7">
        <v>3</v>
      </c>
      <c r="K19" s="8"/>
      <c r="L19" s="9"/>
      <c r="M19" s="9" t="s">
        <v>729</v>
      </c>
      <c r="N19" s="9" t="s">
        <v>707</v>
      </c>
      <c r="O19" s="9" t="s">
        <v>730</v>
      </c>
      <c r="P19" s="9" t="s">
        <v>731</v>
      </c>
      <c r="Q19" s="10">
        <v>24260</v>
      </c>
      <c r="R19" s="10">
        <v>3255</v>
      </c>
      <c r="S19" s="11">
        <v>1177.26</v>
      </c>
      <c r="T19" s="3" t="b">
        <v>1</v>
      </c>
      <c r="U19" s="3" t="b">
        <v>0</v>
      </c>
      <c r="V19" s="3" t="b">
        <v>1</v>
      </c>
    </row>
    <row r="20" spans="1:22" ht="75" x14ac:dyDescent="0.25">
      <c r="A20" s="3" t="s">
        <v>666</v>
      </c>
      <c r="B20" s="3">
        <v>1</v>
      </c>
      <c r="C20" s="4" t="s">
        <v>23</v>
      </c>
      <c r="D20" s="4" t="s">
        <v>61</v>
      </c>
      <c r="E20" s="3" t="s">
        <v>102</v>
      </c>
      <c r="F20" s="4" t="s">
        <v>732</v>
      </c>
      <c r="G20" s="5"/>
      <c r="H20" s="4" t="s">
        <v>27</v>
      </c>
      <c r="I20" s="6" t="s">
        <v>35</v>
      </c>
      <c r="J20" s="7">
        <v>2</v>
      </c>
      <c r="K20" s="8"/>
      <c r="L20" s="9"/>
      <c r="M20" s="9" t="s">
        <v>733</v>
      </c>
      <c r="N20" s="9" t="s">
        <v>720</v>
      </c>
      <c r="O20" s="9" t="s">
        <v>734</v>
      </c>
      <c r="P20" s="9" t="s">
        <v>735</v>
      </c>
      <c r="Q20" s="10">
        <v>24260</v>
      </c>
      <c r="R20" s="10">
        <v>3255</v>
      </c>
      <c r="S20" s="11">
        <v>1177.26</v>
      </c>
      <c r="T20" s="3" t="b">
        <v>1</v>
      </c>
      <c r="U20" s="3" t="b">
        <v>0</v>
      </c>
      <c r="V20" s="3" t="b">
        <v>1</v>
      </c>
    </row>
    <row r="21" spans="1:22" ht="75" x14ac:dyDescent="0.25">
      <c r="A21" s="3" t="s">
        <v>666</v>
      </c>
      <c r="B21" s="3">
        <v>1</v>
      </c>
      <c r="C21" s="4" t="s">
        <v>23</v>
      </c>
      <c r="D21" s="4" t="s">
        <v>61</v>
      </c>
      <c r="E21" s="3" t="s">
        <v>107</v>
      </c>
      <c r="F21" s="4" t="s">
        <v>93</v>
      </c>
      <c r="G21" s="5"/>
      <c r="H21" s="4" t="s">
        <v>27</v>
      </c>
      <c r="I21" s="6" t="s">
        <v>35</v>
      </c>
      <c r="J21" s="7">
        <v>5</v>
      </c>
      <c r="K21" s="8"/>
      <c r="L21" s="9"/>
      <c r="M21" s="9" t="s">
        <v>736</v>
      </c>
      <c r="N21" s="9" t="s">
        <v>720</v>
      </c>
      <c r="O21" s="9" t="s">
        <v>737</v>
      </c>
      <c r="P21" s="9" t="s">
        <v>738</v>
      </c>
      <c r="Q21" s="10">
        <v>24260</v>
      </c>
      <c r="R21" s="10">
        <v>3255</v>
      </c>
      <c r="S21" s="11">
        <v>1177.26</v>
      </c>
      <c r="T21" s="3" t="b">
        <v>1</v>
      </c>
      <c r="U21" s="3" t="b">
        <v>0</v>
      </c>
      <c r="V21" s="3" t="b">
        <v>1</v>
      </c>
    </row>
    <row r="22" spans="1:22" ht="75" x14ac:dyDescent="0.25">
      <c r="A22" s="3" t="s">
        <v>666</v>
      </c>
      <c r="B22" s="3">
        <v>1</v>
      </c>
      <c r="C22" s="4" t="s">
        <v>23</v>
      </c>
      <c r="D22" s="4" t="s">
        <v>112</v>
      </c>
      <c r="E22" s="3"/>
      <c r="F22" s="4"/>
      <c r="G22" s="5"/>
      <c r="H22" s="4"/>
      <c r="I22" s="6"/>
      <c r="J22" s="7"/>
      <c r="K22" s="8"/>
      <c r="L22" s="9"/>
      <c r="M22" s="9"/>
      <c r="N22" s="9"/>
      <c r="O22" s="9"/>
      <c r="P22" s="9"/>
      <c r="Q22" s="10">
        <v>28099</v>
      </c>
      <c r="R22" s="10">
        <v>3901</v>
      </c>
      <c r="S22" s="11">
        <v>1505.17</v>
      </c>
      <c r="T22" s="3" t="b">
        <v>0</v>
      </c>
      <c r="U22" s="3" t="b">
        <v>1</v>
      </c>
      <c r="V22" s="3" t="b">
        <v>1</v>
      </c>
    </row>
    <row r="23" spans="1:22" ht="75" x14ac:dyDescent="0.25">
      <c r="A23" s="3" t="s">
        <v>666</v>
      </c>
      <c r="B23" s="3">
        <v>1</v>
      </c>
      <c r="C23" s="4" t="s">
        <v>23</v>
      </c>
      <c r="D23" s="4" t="s">
        <v>150</v>
      </c>
      <c r="E23" s="3"/>
      <c r="F23" s="4"/>
      <c r="G23" s="5"/>
      <c r="H23" s="4"/>
      <c r="I23" s="6"/>
      <c r="J23" s="7"/>
      <c r="K23" s="8"/>
      <c r="L23" s="9"/>
      <c r="M23" s="9"/>
      <c r="N23" s="9"/>
      <c r="O23" s="9"/>
      <c r="P23" s="9"/>
      <c r="Q23" s="10">
        <v>27044</v>
      </c>
      <c r="R23" s="10">
        <v>4956</v>
      </c>
      <c r="S23" s="11">
        <v>1605.45</v>
      </c>
      <c r="T23" s="3" t="b">
        <v>0</v>
      </c>
      <c r="U23" s="3" t="b">
        <v>1</v>
      </c>
      <c r="V23" s="3" t="b">
        <v>1</v>
      </c>
    </row>
    <row r="24" spans="1:22" ht="75" x14ac:dyDescent="0.25">
      <c r="A24" s="3" t="s">
        <v>666</v>
      </c>
      <c r="B24" s="3">
        <v>1</v>
      </c>
      <c r="C24" s="4" t="s">
        <v>23</v>
      </c>
      <c r="D24" s="4" t="s">
        <v>221</v>
      </c>
      <c r="E24" s="3" t="s">
        <v>222</v>
      </c>
      <c r="F24" s="4" t="s">
        <v>739</v>
      </c>
      <c r="G24" s="5"/>
      <c r="H24" s="4" t="s">
        <v>27</v>
      </c>
      <c r="I24" s="6"/>
      <c r="J24" s="7"/>
      <c r="K24" s="8"/>
      <c r="L24" s="9" t="s">
        <v>740</v>
      </c>
      <c r="M24" s="9" t="s">
        <v>741</v>
      </c>
      <c r="N24" s="9"/>
      <c r="O24" s="9" t="s">
        <v>742</v>
      </c>
      <c r="P24" s="9" t="s">
        <v>743</v>
      </c>
      <c r="Q24" s="10">
        <v>26530</v>
      </c>
      <c r="R24" s="10">
        <v>2665</v>
      </c>
      <c r="S24" s="11">
        <v>1048.96</v>
      </c>
      <c r="T24" s="3" t="b">
        <v>1</v>
      </c>
      <c r="U24" s="3" t="b">
        <v>0</v>
      </c>
      <c r="V24" s="3" t="b">
        <v>1</v>
      </c>
    </row>
    <row r="25" spans="1:22" ht="75" x14ac:dyDescent="0.25">
      <c r="A25" s="3" t="s">
        <v>666</v>
      </c>
      <c r="B25" s="3">
        <v>1</v>
      </c>
      <c r="C25" s="4" t="s">
        <v>23</v>
      </c>
      <c r="D25" s="4" t="s">
        <v>221</v>
      </c>
      <c r="E25" s="3" t="s">
        <v>227</v>
      </c>
      <c r="F25" s="4" t="s">
        <v>228</v>
      </c>
      <c r="G25" s="5"/>
      <c r="H25" s="4" t="s">
        <v>27</v>
      </c>
      <c r="I25" s="6"/>
      <c r="J25" s="7"/>
      <c r="K25" s="8"/>
      <c r="L25" s="9" t="s">
        <v>740</v>
      </c>
      <c r="M25" s="9" t="s">
        <v>744</v>
      </c>
      <c r="N25" s="9"/>
      <c r="O25" s="9" t="s">
        <v>745</v>
      </c>
      <c r="P25" s="9" t="s">
        <v>746</v>
      </c>
      <c r="Q25" s="10">
        <v>26530</v>
      </c>
      <c r="R25" s="10">
        <v>2665</v>
      </c>
      <c r="S25" s="11">
        <v>1048.96</v>
      </c>
      <c r="T25" s="3" t="b">
        <v>1</v>
      </c>
      <c r="U25" s="3" t="b">
        <v>0</v>
      </c>
      <c r="V25" s="3" t="b">
        <v>1</v>
      </c>
    </row>
    <row r="26" spans="1:22" ht="75" x14ac:dyDescent="0.25">
      <c r="A26" s="3" t="s">
        <v>666</v>
      </c>
      <c r="B26" s="3">
        <v>1</v>
      </c>
      <c r="C26" s="4" t="s">
        <v>23</v>
      </c>
      <c r="D26" s="4" t="s">
        <v>221</v>
      </c>
      <c r="E26" s="3" t="s">
        <v>232</v>
      </c>
      <c r="F26" s="4" t="s">
        <v>233</v>
      </c>
      <c r="G26" s="5"/>
      <c r="H26" s="4" t="s">
        <v>27</v>
      </c>
      <c r="I26" s="6"/>
      <c r="J26" s="7"/>
      <c r="K26" s="8"/>
      <c r="L26" s="9" t="s">
        <v>747</v>
      </c>
      <c r="M26" s="9" t="s">
        <v>748</v>
      </c>
      <c r="N26" s="9"/>
      <c r="O26" s="9" t="s">
        <v>749</v>
      </c>
      <c r="P26" s="9" t="s">
        <v>750</v>
      </c>
      <c r="Q26" s="10">
        <v>26530</v>
      </c>
      <c r="R26" s="10">
        <v>2665</v>
      </c>
      <c r="S26" s="11">
        <v>1048.96</v>
      </c>
      <c r="T26" s="3" t="b">
        <v>1</v>
      </c>
      <c r="U26" s="3" t="b">
        <v>0</v>
      </c>
      <c r="V26" s="3" t="b">
        <v>1</v>
      </c>
    </row>
    <row r="27" spans="1:22" ht="75" x14ac:dyDescent="0.25">
      <c r="A27" s="3" t="s">
        <v>666</v>
      </c>
      <c r="B27" s="3">
        <v>1</v>
      </c>
      <c r="C27" s="4" t="s">
        <v>23</v>
      </c>
      <c r="D27" s="4" t="s">
        <v>221</v>
      </c>
      <c r="E27" s="3" t="s">
        <v>237</v>
      </c>
      <c r="F27" s="4" t="s">
        <v>238</v>
      </c>
      <c r="G27" s="5"/>
      <c r="H27" s="4" t="s">
        <v>27</v>
      </c>
      <c r="I27" s="6"/>
      <c r="J27" s="7"/>
      <c r="K27" s="8"/>
      <c r="L27" s="9" t="s">
        <v>751</v>
      </c>
      <c r="M27" s="9" t="s">
        <v>752</v>
      </c>
      <c r="N27" s="9"/>
      <c r="O27" s="9" t="s">
        <v>753</v>
      </c>
      <c r="P27" s="9" t="s">
        <v>754</v>
      </c>
      <c r="Q27" s="10">
        <v>26530</v>
      </c>
      <c r="R27" s="10">
        <v>2665</v>
      </c>
      <c r="S27" s="11">
        <v>1048.96</v>
      </c>
      <c r="T27" s="3" t="b">
        <v>1</v>
      </c>
      <c r="U27" s="3" t="b">
        <v>0</v>
      </c>
      <c r="V27" s="3" t="b">
        <v>1</v>
      </c>
    </row>
    <row r="28" spans="1:22" ht="75" x14ac:dyDescent="0.25">
      <c r="A28" s="3" t="s">
        <v>666</v>
      </c>
      <c r="B28" s="3">
        <v>1</v>
      </c>
      <c r="C28" s="4" t="s">
        <v>23</v>
      </c>
      <c r="D28" s="4" t="s">
        <v>221</v>
      </c>
      <c r="E28" s="3" t="s">
        <v>242</v>
      </c>
      <c r="F28" s="4" t="s">
        <v>243</v>
      </c>
      <c r="G28" s="5"/>
      <c r="H28" s="4" t="s">
        <v>27</v>
      </c>
      <c r="I28" s="6"/>
      <c r="J28" s="7"/>
      <c r="K28" s="8"/>
      <c r="L28" s="9" t="s">
        <v>755</v>
      </c>
      <c r="M28" s="9" t="s">
        <v>756</v>
      </c>
      <c r="N28" s="9"/>
      <c r="O28" s="9" t="s">
        <v>757</v>
      </c>
      <c r="P28" s="9" t="s">
        <v>758</v>
      </c>
      <c r="Q28" s="10">
        <v>26530</v>
      </c>
      <c r="R28" s="10">
        <v>2665</v>
      </c>
      <c r="S28" s="11">
        <v>1048.96</v>
      </c>
      <c r="T28" s="3" t="b">
        <v>1</v>
      </c>
      <c r="U28" s="3" t="b">
        <v>0</v>
      </c>
      <c r="V28" s="3" t="b">
        <v>1</v>
      </c>
    </row>
    <row r="29" spans="1:22" ht="75" x14ac:dyDescent="0.25">
      <c r="A29" s="3" t="s">
        <v>666</v>
      </c>
      <c r="B29" s="3">
        <v>1</v>
      </c>
      <c r="C29" s="4" t="s">
        <v>23</v>
      </c>
      <c r="D29" s="4" t="s">
        <v>221</v>
      </c>
      <c r="E29" s="3" t="s">
        <v>247</v>
      </c>
      <c r="F29" s="4" t="s">
        <v>248</v>
      </c>
      <c r="G29" s="5"/>
      <c r="H29" s="4" t="s">
        <v>27</v>
      </c>
      <c r="I29" s="6"/>
      <c r="J29" s="7"/>
      <c r="K29" s="8"/>
      <c r="L29" s="9" t="s">
        <v>759</v>
      </c>
      <c r="M29" s="9" t="s">
        <v>760</v>
      </c>
      <c r="N29" s="9"/>
      <c r="O29" s="9" t="s">
        <v>761</v>
      </c>
      <c r="P29" s="9" t="s">
        <v>762</v>
      </c>
      <c r="Q29" s="10">
        <v>26530</v>
      </c>
      <c r="R29" s="10">
        <v>2665</v>
      </c>
      <c r="S29" s="11">
        <v>1048.96</v>
      </c>
      <c r="T29" s="3" t="b">
        <v>1</v>
      </c>
      <c r="U29" s="3" t="b">
        <v>0</v>
      </c>
      <c r="V29" s="3" t="b">
        <v>1</v>
      </c>
    </row>
    <row r="30" spans="1:22" ht="75" x14ac:dyDescent="0.25">
      <c r="A30" s="3" t="s">
        <v>666</v>
      </c>
      <c r="B30" s="3">
        <v>1</v>
      </c>
      <c r="C30" s="4" t="s">
        <v>23</v>
      </c>
      <c r="D30" s="4" t="s">
        <v>221</v>
      </c>
      <c r="E30" s="3" t="s">
        <v>252</v>
      </c>
      <c r="F30" s="4" t="s">
        <v>253</v>
      </c>
      <c r="G30" s="5"/>
      <c r="H30" s="4" t="s">
        <v>27</v>
      </c>
      <c r="I30" s="6"/>
      <c r="J30" s="7"/>
      <c r="K30" s="8"/>
      <c r="L30" s="9" t="s">
        <v>763</v>
      </c>
      <c r="M30" s="9" t="s">
        <v>764</v>
      </c>
      <c r="N30" s="9"/>
      <c r="O30" s="9" t="s">
        <v>765</v>
      </c>
      <c r="P30" s="9" t="s">
        <v>766</v>
      </c>
      <c r="Q30" s="10">
        <v>26530</v>
      </c>
      <c r="R30" s="10">
        <v>2665</v>
      </c>
      <c r="S30" s="11">
        <v>1048.96</v>
      </c>
      <c r="T30" s="3" t="b">
        <v>1</v>
      </c>
      <c r="U30" s="3" t="b">
        <v>0</v>
      </c>
      <c r="V30" s="3" t="b">
        <v>1</v>
      </c>
    </row>
    <row r="31" spans="1:22" ht="75" x14ac:dyDescent="0.25">
      <c r="A31" s="3" t="s">
        <v>666</v>
      </c>
      <c r="B31" s="3">
        <v>1</v>
      </c>
      <c r="C31" s="4" t="s">
        <v>23</v>
      </c>
      <c r="D31" s="4" t="s">
        <v>221</v>
      </c>
      <c r="E31" s="3" t="s">
        <v>257</v>
      </c>
      <c r="F31" s="4" t="s">
        <v>258</v>
      </c>
      <c r="G31" s="5"/>
      <c r="H31" s="4" t="s">
        <v>27</v>
      </c>
      <c r="I31" s="6"/>
      <c r="J31" s="7"/>
      <c r="K31" s="8"/>
      <c r="L31" s="9" t="s">
        <v>759</v>
      </c>
      <c r="M31" s="9" t="s">
        <v>767</v>
      </c>
      <c r="N31" s="9"/>
      <c r="O31" s="9" t="s">
        <v>768</v>
      </c>
      <c r="P31" s="9" t="s">
        <v>769</v>
      </c>
      <c r="Q31" s="10">
        <v>26530</v>
      </c>
      <c r="R31" s="10">
        <v>2665</v>
      </c>
      <c r="S31" s="11">
        <v>1048.96</v>
      </c>
      <c r="T31" s="3" t="b">
        <v>1</v>
      </c>
      <c r="U31" s="3" t="b">
        <v>0</v>
      </c>
      <c r="V31" s="3" t="b">
        <v>1</v>
      </c>
    </row>
    <row r="32" spans="1:22" ht="75" x14ac:dyDescent="0.25">
      <c r="A32" s="3" t="s">
        <v>666</v>
      </c>
      <c r="B32" s="3">
        <v>1</v>
      </c>
      <c r="C32" s="4" t="s">
        <v>23</v>
      </c>
      <c r="D32" s="4" t="s">
        <v>221</v>
      </c>
      <c r="E32" s="3" t="s">
        <v>262</v>
      </c>
      <c r="F32" s="4" t="s">
        <v>263</v>
      </c>
      <c r="G32" s="5"/>
      <c r="H32" s="4" t="s">
        <v>27</v>
      </c>
      <c r="I32" s="6"/>
      <c r="J32" s="7"/>
      <c r="K32" s="8"/>
      <c r="L32" s="9" t="s">
        <v>759</v>
      </c>
      <c r="M32" s="9" t="s">
        <v>770</v>
      </c>
      <c r="N32" s="9"/>
      <c r="O32" s="9" t="s">
        <v>771</v>
      </c>
      <c r="P32" s="9" t="s">
        <v>772</v>
      </c>
      <c r="Q32" s="10">
        <v>26530</v>
      </c>
      <c r="R32" s="10">
        <v>2665</v>
      </c>
      <c r="S32" s="11">
        <v>1048.96</v>
      </c>
      <c r="T32" s="3" t="b">
        <v>1</v>
      </c>
      <c r="U32" s="3" t="b">
        <v>0</v>
      </c>
      <c r="V32" s="3" t="b">
        <v>1</v>
      </c>
    </row>
    <row r="33" spans="1:22" ht="75" x14ac:dyDescent="0.25">
      <c r="A33" s="3" t="s">
        <v>666</v>
      </c>
      <c r="B33" s="3">
        <v>1</v>
      </c>
      <c r="C33" s="4" t="s">
        <v>23</v>
      </c>
      <c r="D33" s="4" t="s">
        <v>221</v>
      </c>
      <c r="E33" s="3" t="s">
        <v>267</v>
      </c>
      <c r="F33" s="4" t="s">
        <v>268</v>
      </c>
      <c r="G33" s="5"/>
      <c r="H33" s="4" t="s">
        <v>27</v>
      </c>
      <c r="I33" s="6"/>
      <c r="J33" s="7"/>
      <c r="K33" s="8"/>
      <c r="L33" s="9" t="s">
        <v>773</v>
      </c>
      <c r="M33" s="9" t="s">
        <v>774</v>
      </c>
      <c r="N33" s="9"/>
      <c r="O33" s="9" t="s">
        <v>775</v>
      </c>
      <c r="P33" s="9" t="s">
        <v>776</v>
      </c>
      <c r="Q33" s="10">
        <v>26530</v>
      </c>
      <c r="R33" s="10">
        <v>2665</v>
      </c>
      <c r="S33" s="11">
        <v>1048.96</v>
      </c>
      <c r="T33" s="3" t="b">
        <v>1</v>
      </c>
      <c r="U33" s="3" t="b">
        <v>0</v>
      </c>
      <c r="V33" s="3" t="b">
        <v>1</v>
      </c>
    </row>
    <row r="34" spans="1:22" ht="75" x14ac:dyDescent="0.25">
      <c r="A34" s="3" t="s">
        <v>666</v>
      </c>
      <c r="B34" s="3">
        <v>1</v>
      </c>
      <c r="C34" s="4" t="s">
        <v>23</v>
      </c>
      <c r="D34" s="4" t="s">
        <v>221</v>
      </c>
      <c r="E34" s="3" t="s">
        <v>272</v>
      </c>
      <c r="F34" s="4" t="s">
        <v>273</v>
      </c>
      <c r="G34" s="5"/>
      <c r="H34" s="4" t="s">
        <v>27</v>
      </c>
      <c r="I34" s="6"/>
      <c r="J34" s="7"/>
      <c r="K34" s="8"/>
      <c r="L34" s="9" t="s">
        <v>777</v>
      </c>
      <c r="M34" s="9" t="s">
        <v>778</v>
      </c>
      <c r="N34" s="9"/>
      <c r="O34" s="9" t="s">
        <v>779</v>
      </c>
      <c r="P34" s="9" t="s">
        <v>780</v>
      </c>
      <c r="Q34" s="10">
        <v>26530</v>
      </c>
      <c r="R34" s="10">
        <v>2665</v>
      </c>
      <c r="S34" s="11">
        <v>1048.96</v>
      </c>
      <c r="T34" s="3" t="b">
        <v>1</v>
      </c>
      <c r="U34" s="3" t="b">
        <v>0</v>
      </c>
      <c r="V34" s="3" t="b">
        <v>1</v>
      </c>
    </row>
    <row r="35" spans="1:22" ht="75" x14ac:dyDescent="0.25">
      <c r="A35" s="3" t="s">
        <v>666</v>
      </c>
      <c r="B35" s="3">
        <v>1</v>
      </c>
      <c r="C35" s="4" t="s">
        <v>23</v>
      </c>
      <c r="D35" s="4" t="s">
        <v>221</v>
      </c>
      <c r="E35" s="3" t="s">
        <v>277</v>
      </c>
      <c r="F35" s="4" t="s">
        <v>278</v>
      </c>
      <c r="G35" s="5"/>
      <c r="H35" s="4" t="s">
        <v>27</v>
      </c>
      <c r="I35" s="6"/>
      <c r="J35" s="7"/>
      <c r="K35" s="8"/>
      <c r="L35" s="9" t="s">
        <v>781</v>
      </c>
      <c r="M35" s="9" t="s">
        <v>782</v>
      </c>
      <c r="N35" s="9"/>
      <c r="O35" s="9" t="s">
        <v>783</v>
      </c>
      <c r="P35" s="9" t="s">
        <v>784</v>
      </c>
      <c r="Q35" s="10">
        <v>26530</v>
      </c>
      <c r="R35" s="10">
        <v>2665</v>
      </c>
      <c r="S35" s="11">
        <v>1048.96</v>
      </c>
      <c r="T35" s="3" t="b">
        <v>1</v>
      </c>
      <c r="U35" s="3" t="b">
        <v>0</v>
      </c>
      <c r="V35" s="3" t="b">
        <v>1</v>
      </c>
    </row>
    <row r="36" spans="1:22" ht="75" x14ac:dyDescent="0.25">
      <c r="A36" s="3" t="s">
        <v>666</v>
      </c>
      <c r="B36" s="3">
        <v>1</v>
      </c>
      <c r="C36" s="4" t="s">
        <v>23</v>
      </c>
      <c r="D36" s="4" t="s">
        <v>221</v>
      </c>
      <c r="E36" s="3" t="s">
        <v>282</v>
      </c>
      <c r="F36" s="4" t="s">
        <v>283</v>
      </c>
      <c r="G36" s="5"/>
      <c r="H36" s="4" t="s">
        <v>27</v>
      </c>
      <c r="I36" s="6"/>
      <c r="J36" s="7"/>
      <c r="K36" s="8"/>
      <c r="L36" s="9" t="s">
        <v>785</v>
      </c>
      <c r="M36" s="9" t="s">
        <v>786</v>
      </c>
      <c r="N36" s="9"/>
      <c r="O36" s="9" t="s">
        <v>787</v>
      </c>
      <c r="P36" s="9" t="s">
        <v>788</v>
      </c>
      <c r="Q36" s="10">
        <v>26530</v>
      </c>
      <c r="R36" s="10">
        <v>2665</v>
      </c>
      <c r="S36" s="11">
        <v>1048.96</v>
      </c>
      <c r="T36" s="3" t="b">
        <v>1</v>
      </c>
      <c r="U36" s="3" t="b">
        <v>0</v>
      </c>
      <c r="V36" s="3" t="b">
        <v>1</v>
      </c>
    </row>
  </sheetData>
  <autoFilter ref="A1:V36" xr:uid="{00000000-0009-0000-0000-000005000000}"/>
  <conditionalFormatting sqref="D2:D36">
    <cfRule type="containsText" dxfId="183" priority="20" operator="containsText" text="Climate And Resilience">
      <formula>NOT(ISERROR(SEARCH("Climate And Resilience",D2)))</formula>
    </cfRule>
    <cfRule type="containsText" dxfId="182" priority="21" operator="containsText" text="Leadership">
      <formula>NOT(ISERROR(SEARCH("Leadership",D2)))</formula>
    </cfRule>
    <cfRule type="containsText" dxfId="181" priority="22" operator="containsText" text="Natural World">
      <formula>NOT(ISERROR(SEARCH("Natural World",D2)))</formula>
    </cfRule>
    <cfRule type="containsText" dxfId="180" priority="23" operator="containsText" text="Quality Of Life">
      <formula>NOT(ISERROR(SEARCH("Quality Of Life",D2)))</formula>
    </cfRule>
    <cfRule type="containsText" dxfId="179" priority="24" operator="containsText" text="Resource Allocation">
      <formula>NOT(ISERROR(SEARCH("Resource Allocation",D2)))</formula>
    </cfRule>
  </conditionalFormatting>
  <conditionalFormatting sqref="G2:G36">
    <cfRule type="dataBar" priority="713">
      <dataBar>
        <cfvo type="min"/>
        <cfvo type="max"/>
        <color rgb="FF5B9BD5"/>
      </dataBar>
    </cfRule>
  </conditionalFormatting>
  <conditionalFormatting sqref="H2:H36">
    <cfRule type="containsText" dxfId="178" priority="10" operator="containsText" text="Not Applicable">
      <formula>NOT(ISERROR(SEARCH("Not Applicable",H2)))</formula>
    </cfRule>
    <cfRule type="containsText" dxfId="177" priority="11" operator="containsText" text="Applicable">
      <formula>NOT(ISERROR(SEARCH("Applicable",H2)))</formula>
    </cfRule>
  </conditionalFormatting>
  <conditionalFormatting sqref="I2:I36">
    <cfRule type="containsText" dxfId="176" priority="4" operator="containsText" text="No Level">
      <formula>NOT(ISERROR(SEARCH("No Level",I2)))</formula>
    </cfRule>
    <cfRule type="containsText" dxfId="175" priority="5" operator="containsText" text="Improved">
      <formula>NOT(ISERROR(SEARCH("Improved",I2)))</formula>
    </cfRule>
    <cfRule type="containsText" dxfId="174" priority="6" operator="containsText" text="Enhanced">
      <formula>NOT(ISERROR(SEARCH("Enhanced",I2)))</formula>
    </cfRule>
    <cfRule type="containsText" dxfId="173" priority="7" operator="containsText" text="Superior">
      <formula>NOT(ISERROR(SEARCH("Superior",I2)))</formula>
    </cfRule>
    <cfRule type="containsText" dxfId="172" priority="8" operator="containsText" text="Conserving">
      <formula>NOT(ISERROR(SEARCH("Conserving",I2)))</formula>
    </cfRule>
    <cfRule type="containsText" dxfId="171" priority="9" operator="containsText" text="Restorative">
      <formula>NOT(ISERROR(SEARCH("Restorative",I2)))</formula>
    </cfRule>
  </conditionalFormatting>
  <conditionalFormatting sqref="J2:J36">
    <cfRule type="dataBar" priority="714">
      <dataBar>
        <cfvo type="min"/>
        <cfvo type="max"/>
        <color rgb="FF70AD47"/>
      </dataBar>
    </cfRule>
  </conditionalFormatting>
  <conditionalFormatting sqref="K2:K36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36">
    <cfRule type="dataBar" priority="715">
      <dataBar>
        <cfvo type="min"/>
        <cfvo type="max"/>
        <color rgb="FFA5A5A5"/>
      </dataBar>
    </cfRule>
  </conditionalFormatting>
  <conditionalFormatting sqref="S2:S36">
    <cfRule type="dataBar" priority="716">
      <dataBar>
        <cfvo type="min"/>
        <cfvo type="max"/>
        <color rgb="FFED7D31"/>
      </dataBar>
    </cfRule>
  </conditionalFormatting>
  <conditionalFormatting sqref="T2:T36">
    <cfRule type="cellIs" dxfId="170" priority="14" operator="equal">
      <formula>TRUE</formula>
    </cfRule>
    <cfRule type="cellIs" dxfId="169" priority="15" operator="equal">
      <formula>FALSE</formula>
    </cfRule>
  </conditionalFormatting>
  <conditionalFormatting sqref="U2:U36">
    <cfRule type="cellIs" dxfId="168" priority="16" operator="equal">
      <formula>TRUE</formula>
    </cfRule>
    <cfRule type="cellIs" dxfId="167" priority="17" operator="equal">
      <formula>FALSE</formula>
    </cfRule>
  </conditionalFormatting>
  <conditionalFormatting sqref="V2:V36">
    <cfRule type="cellIs" dxfId="166" priority="18" operator="equal">
      <formula>TRUE</formula>
    </cfRule>
    <cfRule type="cellIs" dxfId="165" priority="19" operator="equal">
      <formula>FALSE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6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ht="75" x14ac:dyDescent="0.25">
      <c r="A2" s="3" t="s">
        <v>666</v>
      </c>
      <c r="B2" s="3">
        <v>2</v>
      </c>
      <c r="C2" s="4" t="s">
        <v>23</v>
      </c>
      <c r="D2" s="4" t="s">
        <v>24</v>
      </c>
      <c r="E2" s="3" t="s">
        <v>667</v>
      </c>
      <c r="F2" s="4" t="s">
        <v>668</v>
      </c>
      <c r="G2" s="5"/>
      <c r="H2" s="4" t="s">
        <v>27</v>
      </c>
      <c r="I2" s="6" t="s">
        <v>28</v>
      </c>
      <c r="J2" s="7">
        <v>0</v>
      </c>
      <c r="K2" s="8"/>
      <c r="L2" s="9"/>
      <c r="M2" s="9" t="s">
        <v>669</v>
      </c>
      <c r="N2" s="9" t="s">
        <v>789</v>
      </c>
      <c r="O2" s="9" t="s">
        <v>671</v>
      </c>
      <c r="P2" s="9" t="s">
        <v>672</v>
      </c>
      <c r="Q2" s="10">
        <v>22526</v>
      </c>
      <c r="R2" s="10">
        <v>2622</v>
      </c>
      <c r="S2" s="11">
        <v>1028.04</v>
      </c>
      <c r="T2" s="3" t="b">
        <v>1</v>
      </c>
      <c r="U2" s="3" t="b">
        <v>0</v>
      </c>
      <c r="V2" s="3" t="b">
        <v>1</v>
      </c>
    </row>
    <row r="3" spans="1:22" ht="75" x14ac:dyDescent="0.25">
      <c r="A3" s="3" t="s">
        <v>666</v>
      </c>
      <c r="B3" s="3">
        <v>2</v>
      </c>
      <c r="C3" s="4" t="s">
        <v>23</v>
      </c>
      <c r="D3" s="4" t="s">
        <v>24</v>
      </c>
      <c r="E3" s="3" t="s">
        <v>673</v>
      </c>
      <c r="F3" s="4" t="s">
        <v>674</v>
      </c>
      <c r="G3" s="5"/>
      <c r="H3" s="4" t="s">
        <v>27</v>
      </c>
      <c r="I3" s="6" t="s">
        <v>28</v>
      </c>
      <c r="J3" s="7">
        <v>0</v>
      </c>
      <c r="K3" s="8"/>
      <c r="L3" s="9"/>
      <c r="M3" s="9" t="s">
        <v>675</v>
      </c>
      <c r="N3" s="9" t="s">
        <v>790</v>
      </c>
      <c r="O3" s="9" t="s">
        <v>676</v>
      </c>
      <c r="P3" s="9" t="s">
        <v>677</v>
      </c>
      <c r="Q3" s="10">
        <v>22526</v>
      </c>
      <c r="R3" s="10">
        <v>2622</v>
      </c>
      <c r="S3" s="11">
        <v>1028.04</v>
      </c>
      <c r="T3" s="3" t="b">
        <v>1</v>
      </c>
      <c r="U3" s="3" t="b">
        <v>0</v>
      </c>
      <c r="V3" s="3" t="b">
        <v>1</v>
      </c>
    </row>
    <row r="4" spans="1:22" ht="75" x14ac:dyDescent="0.25">
      <c r="A4" s="3" t="s">
        <v>666</v>
      </c>
      <c r="B4" s="3">
        <v>2</v>
      </c>
      <c r="C4" s="4" t="s">
        <v>23</v>
      </c>
      <c r="D4" s="4" t="s">
        <v>24</v>
      </c>
      <c r="E4" s="3" t="s">
        <v>678</v>
      </c>
      <c r="F4" s="4" t="s">
        <v>679</v>
      </c>
      <c r="G4" s="5"/>
      <c r="H4" s="4" t="s">
        <v>27</v>
      </c>
      <c r="I4" s="6" t="s">
        <v>28</v>
      </c>
      <c r="J4" s="7">
        <v>0</v>
      </c>
      <c r="K4" s="8"/>
      <c r="L4" s="9"/>
      <c r="M4" s="9" t="s">
        <v>680</v>
      </c>
      <c r="N4" s="9" t="s">
        <v>791</v>
      </c>
      <c r="O4" s="9" t="s">
        <v>681</v>
      </c>
      <c r="P4" s="9" t="s">
        <v>682</v>
      </c>
      <c r="Q4" s="10">
        <v>22526</v>
      </c>
      <c r="R4" s="10">
        <v>2622</v>
      </c>
      <c r="S4" s="11">
        <v>1028.04</v>
      </c>
      <c r="T4" s="3" t="b">
        <v>1</v>
      </c>
      <c r="U4" s="3" t="b">
        <v>0</v>
      </c>
      <c r="V4" s="3" t="b">
        <v>1</v>
      </c>
    </row>
    <row r="5" spans="1:22" ht="75" x14ac:dyDescent="0.25">
      <c r="A5" s="3" t="s">
        <v>666</v>
      </c>
      <c r="B5" s="3">
        <v>2</v>
      </c>
      <c r="C5" s="4" t="s">
        <v>23</v>
      </c>
      <c r="D5" s="4" t="s">
        <v>24</v>
      </c>
      <c r="E5" s="3" t="s">
        <v>25</v>
      </c>
      <c r="F5" s="4" t="s">
        <v>26</v>
      </c>
      <c r="G5" s="5"/>
      <c r="H5" s="4" t="s">
        <v>27</v>
      </c>
      <c r="I5" s="6" t="s">
        <v>28</v>
      </c>
      <c r="J5" s="7">
        <v>0</v>
      </c>
      <c r="K5" s="8"/>
      <c r="L5" s="9"/>
      <c r="M5" s="9" t="s">
        <v>683</v>
      </c>
      <c r="N5" s="9" t="s">
        <v>792</v>
      </c>
      <c r="O5" s="9" t="s">
        <v>793</v>
      </c>
      <c r="P5" s="9" t="s">
        <v>794</v>
      </c>
      <c r="Q5" s="10">
        <v>22526</v>
      </c>
      <c r="R5" s="10">
        <v>2622</v>
      </c>
      <c r="S5" s="11">
        <v>1028.04</v>
      </c>
      <c r="T5" s="3" t="b">
        <v>1</v>
      </c>
      <c r="U5" s="3" t="b">
        <v>0</v>
      </c>
      <c r="V5" s="3" t="b">
        <v>1</v>
      </c>
    </row>
    <row r="6" spans="1:22" ht="75" x14ac:dyDescent="0.25">
      <c r="A6" s="3" t="s">
        <v>666</v>
      </c>
      <c r="B6" s="3">
        <v>2</v>
      </c>
      <c r="C6" s="4" t="s">
        <v>23</v>
      </c>
      <c r="D6" s="4" t="s">
        <v>24</v>
      </c>
      <c r="E6" s="3" t="s">
        <v>33</v>
      </c>
      <c r="F6" s="4" t="s">
        <v>34</v>
      </c>
      <c r="G6" s="5"/>
      <c r="H6" s="4" t="s">
        <v>27</v>
      </c>
      <c r="I6" s="6" t="s">
        <v>28</v>
      </c>
      <c r="J6" s="7">
        <v>0</v>
      </c>
      <c r="K6" s="8"/>
      <c r="L6" s="9"/>
      <c r="M6" s="9" t="s">
        <v>686</v>
      </c>
      <c r="N6" s="9" t="s">
        <v>792</v>
      </c>
      <c r="O6" s="9" t="s">
        <v>795</v>
      </c>
      <c r="P6" s="9" t="s">
        <v>796</v>
      </c>
      <c r="Q6" s="10">
        <v>22526</v>
      </c>
      <c r="R6" s="10">
        <v>2622</v>
      </c>
      <c r="S6" s="11">
        <v>1028.04</v>
      </c>
      <c r="T6" s="3" t="b">
        <v>1</v>
      </c>
      <c r="U6" s="3" t="b">
        <v>0</v>
      </c>
      <c r="V6" s="3" t="b">
        <v>1</v>
      </c>
    </row>
    <row r="7" spans="1:22" ht="75" x14ac:dyDescent="0.25">
      <c r="A7" s="3" t="s">
        <v>666</v>
      </c>
      <c r="B7" s="3">
        <v>2</v>
      </c>
      <c r="C7" s="4" t="s">
        <v>23</v>
      </c>
      <c r="D7" s="4" t="s">
        <v>24</v>
      </c>
      <c r="E7" s="3" t="s">
        <v>39</v>
      </c>
      <c r="F7" s="4" t="s">
        <v>40</v>
      </c>
      <c r="G7" s="5"/>
      <c r="H7" s="4" t="s">
        <v>27</v>
      </c>
      <c r="I7" s="6" t="s">
        <v>28</v>
      </c>
      <c r="J7" s="7">
        <v>0</v>
      </c>
      <c r="K7" s="8"/>
      <c r="L7" s="9"/>
      <c r="M7" s="9" t="s">
        <v>689</v>
      </c>
      <c r="N7" s="9" t="s">
        <v>797</v>
      </c>
      <c r="O7" s="9" t="s">
        <v>43</v>
      </c>
      <c r="P7" s="9" t="s">
        <v>798</v>
      </c>
      <c r="Q7" s="10">
        <v>22526</v>
      </c>
      <c r="R7" s="10">
        <v>2622</v>
      </c>
      <c r="S7" s="11">
        <v>1028.04</v>
      </c>
      <c r="T7" s="3" t="b">
        <v>1</v>
      </c>
      <c r="U7" s="3" t="b">
        <v>0</v>
      </c>
      <c r="V7" s="3" t="b">
        <v>1</v>
      </c>
    </row>
    <row r="8" spans="1:22" ht="75" x14ac:dyDescent="0.25">
      <c r="A8" s="3" t="s">
        <v>666</v>
      </c>
      <c r="B8" s="3">
        <v>2</v>
      </c>
      <c r="C8" s="4" t="s">
        <v>23</v>
      </c>
      <c r="D8" s="4" t="s">
        <v>24</v>
      </c>
      <c r="E8" s="3" t="s">
        <v>45</v>
      </c>
      <c r="F8" s="4" t="s">
        <v>46</v>
      </c>
      <c r="G8" s="5"/>
      <c r="H8" s="4" t="s">
        <v>27</v>
      </c>
      <c r="I8" s="6" t="s">
        <v>28</v>
      </c>
      <c r="J8" s="7">
        <v>0</v>
      </c>
      <c r="K8" s="8"/>
      <c r="L8" s="9"/>
      <c r="M8" s="9" t="s">
        <v>799</v>
      </c>
      <c r="N8" s="9" t="s">
        <v>800</v>
      </c>
      <c r="O8" s="9" t="s">
        <v>692</v>
      </c>
      <c r="P8" s="9" t="s">
        <v>801</v>
      </c>
      <c r="Q8" s="10">
        <v>22526</v>
      </c>
      <c r="R8" s="10">
        <v>2622</v>
      </c>
      <c r="S8" s="11">
        <v>1028.04</v>
      </c>
      <c r="T8" s="3" t="b">
        <v>1</v>
      </c>
      <c r="U8" s="3" t="b">
        <v>0</v>
      </c>
      <c r="V8" s="3" t="b">
        <v>1</v>
      </c>
    </row>
    <row r="9" spans="1:22" ht="75" x14ac:dyDescent="0.25">
      <c r="A9" s="3" t="s">
        <v>666</v>
      </c>
      <c r="B9" s="3">
        <v>2</v>
      </c>
      <c r="C9" s="4" t="s">
        <v>23</v>
      </c>
      <c r="D9" s="4" t="s">
        <v>24</v>
      </c>
      <c r="E9" s="3" t="s">
        <v>51</v>
      </c>
      <c r="F9" s="4" t="s">
        <v>52</v>
      </c>
      <c r="G9" s="5"/>
      <c r="H9" s="4" t="s">
        <v>27</v>
      </c>
      <c r="I9" s="6" t="s">
        <v>28</v>
      </c>
      <c r="J9" s="7">
        <v>0</v>
      </c>
      <c r="K9" s="8"/>
      <c r="L9" s="9"/>
      <c r="M9" s="9" t="s">
        <v>802</v>
      </c>
      <c r="N9" s="9" t="s">
        <v>803</v>
      </c>
      <c r="O9" s="9" t="s">
        <v>54</v>
      </c>
      <c r="P9" s="9" t="s">
        <v>804</v>
      </c>
      <c r="Q9" s="10">
        <v>22526</v>
      </c>
      <c r="R9" s="10">
        <v>2622</v>
      </c>
      <c r="S9" s="11">
        <v>1028.04</v>
      </c>
      <c r="T9" s="3" t="b">
        <v>1</v>
      </c>
      <c r="U9" s="3" t="b">
        <v>0</v>
      </c>
      <c r="V9" s="3" t="b">
        <v>1</v>
      </c>
    </row>
    <row r="10" spans="1:22" ht="75" x14ac:dyDescent="0.25">
      <c r="A10" s="3" t="s">
        <v>666</v>
      </c>
      <c r="B10" s="3">
        <v>2</v>
      </c>
      <c r="C10" s="4" t="s">
        <v>23</v>
      </c>
      <c r="D10" s="4" t="s">
        <v>24</v>
      </c>
      <c r="E10" s="3" t="s">
        <v>56</v>
      </c>
      <c r="F10" s="4" t="s">
        <v>57</v>
      </c>
      <c r="G10" s="5"/>
      <c r="H10" s="4" t="s">
        <v>27</v>
      </c>
      <c r="I10" s="6" t="s">
        <v>28</v>
      </c>
      <c r="J10" s="7">
        <v>0</v>
      </c>
      <c r="K10" s="8"/>
      <c r="L10" s="9"/>
      <c r="M10" s="9" t="s">
        <v>696</v>
      </c>
      <c r="N10" s="9" t="s">
        <v>307</v>
      </c>
      <c r="O10" s="9" t="s">
        <v>697</v>
      </c>
      <c r="P10" s="9" t="s">
        <v>805</v>
      </c>
      <c r="Q10" s="10">
        <v>22526</v>
      </c>
      <c r="R10" s="10">
        <v>2622</v>
      </c>
      <c r="S10" s="11">
        <v>1028.04</v>
      </c>
      <c r="T10" s="3" t="b">
        <v>1</v>
      </c>
      <c r="U10" s="3" t="b">
        <v>0</v>
      </c>
      <c r="V10" s="3" t="b">
        <v>1</v>
      </c>
    </row>
    <row r="11" spans="1:22" ht="75" x14ac:dyDescent="0.25">
      <c r="A11" s="3" t="s">
        <v>666</v>
      </c>
      <c r="B11" s="3">
        <v>2</v>
      </c>
      <c r="C11" s="4" t="s">
        <v>23</v>
      </c>
      <c r="D11" s="4" t="s">
        <v>61</v>
      </c>
      <c r="E11" s="3" t="s">
        <v>62</v>
      </c>
      <c r="F11" s="4" t="s">
        <v>63</v>
      </c>
      <c r="G11" s="5"/>
      <c r="H11" s="4" t="s">
        <v>27</v>
      </c>
      <c r="I11" s="6" t="s">
        <v>35</v>
      </c>
      <c r="J11" s="7">
        <v>2</v>
      </c>
      <c r="K11" s="8"/>
      <c r="L11" s="9"/>
      <c r="M11" s="9" t="s">
        <v>806</v>
      </c>
      <c r="N11" s="9" t="s">
        <v>30</v>
      </c>
      <c r="O11" s="9" t="s">
        <v>700</v>
      </c>
      <c r="P11" s="9" t="s">
        <v>701</v>
      </c>
      <c r="Q11" s="10">
        <v>24260</v>
      </c>
      <c r="R11" s="10">
        <v>3262</v>
      </c>
      <c r="S11" s="11">
        <v>1265.58</v>
      </c>
      <c r="T11" s="3" t="b">
        <v>1</v>
      </c>
      <c r="U11" s="3" t="b">
        <v>0</v>
      </c>
      <c r="V11" s="3" t="b">
        <v>1</v>
      </c>
    </row>
    <row r="12" spans="1:22" ht="75" x14ac:dyDescent="0.25">
      <c r="A12" s="3" t="s">
        <v>666</v>
      </c>
      <c r="B12" s="3">
        <v>2</v>
      </c>
      <c r="C12" s="4" t="s">
        <v>23</v>
      </c>
      <c r="D12" s="4" t="s">
        <v>61</v>
      </c>
      <c r="E12" s="3" t="s">
        <v>67</v>
      </c>
      <c r="F12" s="4" t="s">
        <v>68</v>
      </c>
      <c r="G12" s="5"/>
      <c r="H12" s="4" t="s">
        <v>27</v>
      </c>
      <c r="I12" s="6" t="s">
        <v>35</v>
      </c>
      <c r="J12" s="7">
        <v>2</v>
      </c>
      <c r="K12" s="8"/>
      <c r="L12" s="9"/>
      <c r="M12" s="9" t="s">
        <v>807</v>
      </c>
      <c r="N12" s="9" t="s">
        <v>307</v>
      </c>
      <c r="O12" s="9" t="s">
        <v>808</v>
      </c>
      <c r="P12" s="9" t="s">
        <v>809</v>
      </c>
      <c r="Q12" s="10">
        <v>24260</v>
      </c>
      <c r="R12" s="10">
        <v>3262</v>
      </c>
      <c r="S12" s="11">
        <v>1265.58</v>
      </c>
      <c r="T12" s="3" t="b">
        <v>1</v>
      </c>
      <c r="U12" s="3" t="b">
        <v>0</v>
      </c>
      <c r="V12" s="3" t="b">
        <v>1</v>
      </c>
    </row>
    <row r="13" spans="1:22" ht="75" x14ac:dyDescent="0.25">
      <c r="A13" s="3" t="s">
        <v>666</v>
      </c>
      <c r="B13" s="3">
        <v>2</v>
      </c>
      <c r="C13" s="4" t="s">
        <v>23</v>
      </c>
      <c r="D13" s="4" t="s">
        <v>61</v>
      </c>
      <c r="E13" s="3" t="s">
        <v>72</v>
      </c>
      <c r="F13" s="4" t="s">
        <v>705</v>
      </c>
      <c r="G13" s="5"/>
      <c r="H13" s="4" t="s">
        <v>27</v>
      </c>
      <c r="I13" s="6" t="s">
        <v>35</v>
      </c>
      <c r="J13" s="7">
        <v>3</v>
      </c>
      <c r="K13" s="8"/>
      <c r="L13" s="9"/>
      <c r="M13" s="9" t="s">
        <v>810</v>
      </c>
      <c r="N13" s="9" t="s">
        <v>811</v>
      </c>
      <c r="O13" s="9" t="s">
        <v>812</v>
      </c>
      <c r="P13" s="9" t="s">
        <v>813</v>
      </c>
      <c r="Q13" s="10">
        <v>24260</v>
      </c>
      <c r="R13" s="10">
        <v>3262</v>
      </c>
      <c r="S13" s="11">
        <v>1265.58</v>
      </c>
      <c r="T13" s="3" t="b">
        <v>1</v>
      </c>
      <c r="U13" s="3" t="b">
        <v>0</v>
      </c>
      <c r="V13" s="3" t="b">
        <v>1</v>
      </c>
    </row>
    <row r="14" spans="1:22" ht="75" x14ac:dyDescent="0.25">
      <c r="A14" s="3" t="s">
        <v>666</v>
      </c>
      <c r="B14" s="3">
        <v>2</v>
      </c>
      <c r="C14" s="4" t="s">
        <v>23</v>
      </c>
      <c r="D14" s="4" t="s">
        <v>61</v>
      </c>
      <c r="E14" s="3" t="s">
        <v>77</v>
      </c>
      <c r="F14" s="4" t="s">
        <v>78</v>
      </c>
      <c r="G14" s="5"/>
      <c r="H14" s="4" t="s">
        <v>27</v>
      </c>
      <c r="I14" s="6" t="s">
        <v>35</v>
      </c>
      <c r="J14" s="7">
        <v>3</v>
      </c>
      <c r="K14" s="8"/>
      <c r="L14" s="9"/>
      <c r="M14" s="9" t="s">
        <v>814</v>
      </c>
      <c r="N14" s="9" t="s">
        <v>811</v>
      </c>
      <c r="O14" s="9" t="s">
        <v>815</v>
      </c>
      <c r="P14" s="9" t="s">
        <v>816</v>
      </c>
      <c r="Q14" s="10">
        <v>24260</v>
      </c>
      <c r="R14" s="10">
        <v>3262</v>
      </c>
      <c r="S14" s="11">
        <v>1265.58</v>
      </c>
      <c r="T14" s="3" t="b">
        <v>1</v>
      </c>
      <c r="U14" s="3" t="b">
        <v>0</v>
      </c>
      <c r="V14" s="3" t="b">
        <v>1</v>
      </c>
    </row>
    <row r="15" spans="1:22" ht="75" x14ac:dyDescent="0.25">
      <c r="A15" s="3" t="s">
        <v>666</v>
      </c>
      <c r="B15" s="3">
        <v>2</v>
      </c>
      <c r="C15" s="4" t="s">
        <v>23</v>
      </c>
      <c r="D15" s="4" t="s">
        <v>61</v>
      </c>
      <c r="E15" s="3" t="s">
        <v>82</v>
      </c>
      <c r="F15" s="4" t="s">
        <v>83</v>
      </c>
      <c r="G15" s="5"/>
      <c r="H15" s="4" t="s">
        <v>27</v>
      </c>
      <c r="I15" s="6" t="s">
        <v>35</v>
      </c>
      <c r="J15" s="7">
        <v>4</v>
      </c>
      <c r="K15" s="8"/>
      <c r="L15" s="9"/>
      <c r="M15" s="9" t="s">
        <v>817</v>
      </c>
      <c r="N15" s="9" t="s">
        <v>811</v>
      </c>
      <c r="O15" s="9" t="s">
        <v>818</v>
      </c>
      <c r="P15" s="9" t="s">
        <v>819</v>
      </c>
      <c r="Q15" s="10">
        <v>24260</v>
      </c>
      <c r="R15" s="10">
        <v>3262</v>
      </c>
      <c r="S15" s="11">
        <v>1265.58</v>
      </c>
      <c r="T15" s="3" t="b">
        <v>1</v>
      </c>
      <c r="U15" s="3" t="b">
        <v>0</v>
      </c>
      <c r="V15" s="3" t="b">
        <v>1</v>
      </c>
    </row>
    <row r="16" spans="1:22" ht="75" x14ac:dyDescent="0.25">
      <c r="A16" s="3" t="s">
        <v>666</v>
      </c>
      <c r="B16" s="3">
        <v>2</v>
      </c>
      <c r="C16" s="4" t="s">
        <v>23</v>
      </c>
      <c r="D16" s="4" t="s">
        <v>61</v>
      </c>
      <c r="E16" s="3" t="s">
        <v>87</v>
      </c>
      <c r="F16" s="4" t="s">
        <v>88</v>
      </c>
      <c r="G16" s="5"/>
      <c r="H16" s="4" t="s">
        <v>27</v>
      </c>
      <c r="I16" s="6" t="s">
        <v>35</v>
      </c>
      <c r="J16" s="7">
        <v>4</v>
      </c>
      <c r="K16" s="8"/>
      <c r="L16" s="9"/>
      <c r="M16" s="9" t="s">
        <v>820</v>
      </c>
      <c r="N16" s="9" t="s">
        <v>811</v>
      </c>
      <c r="O16" s="9" t="s">
        <v>821</v>
      </c>
      <c r="P16" s="9" t="s">
        <v>822</v>
      </c>
      <c r="Q16" s="10">
        <v>24260</v>
      </c>
      <c r="R16" s="10">
        <v>3262</v>
      </c>
      <c r="S16" s="11">
        <v>1265.58</v>
      </c>
      <c r="T16" s="3" t="b">
        <v>1</v>
      </c>
      <c r="U16" s="3" t="b">
        <v>0</v>
      </c>
      <c r="V16" s="3" t="b">
        <v>1</v>
      </c>
    </row>
    <row r="17" spans="1:22" ht="75" x14ac:dyDescent="0.25">
      <c r="A17" s="3" t="s">
        <v>666</v>
      </c>
      <c r="B17" s="3">
        <v>2</v>
      </c>
      <c r="C17" s="4" t="s">
        <v>23</v>
      </c>
      <c r="D17" s="4" t="s">
        <v>61</v>
      </c>
      <c r="E17" s="3" t="s">
        <v>92</v>
      </c>
      <c r="F17" s="4" t="s">
        <v>718</v>
      </c>
      <c r="G17" s="5"/>
      <c r="H17" s="4" t="s">
        <v>27</v>
      </c>
      <c r="I17" s="6" t="s">
        <v>35</v>
      </c>
      <c r="J17" s="7">
        <v>2</v>
      </c>
      <c r="K17" s="8"/>
      <c r="L17" s="9"/>
      <c r="M17" s="9" t="s">
        <v>823</v>
      </c>
      <c r="N17" s="9" t="s">
        <v>307</v>
      </c>
      <c r="O17" s="9" t="s">
        <v>824</v>
      </c>
      <c r="P17" s="9" t="s">
        <v>825</v>
      </c>
      <c r="Q17" s="10">
        <v>24260</v>
      </c>
      <c r="R17" s="10">
        <v>3262</v>
      </c>
      <c r="S17" s="11">
        <v>1265.58</v>
      </c>
      <c r="T17" s="3" t="b">
        <v>1</v>
      </c>
      <c r="U17" s="3" t="b">
        <v>0</v>
      </c>
      <c r="V17" s="3" t="b">
        <v>1</v>
      </c>
    </row>
    <row r="18" spans="1:22" ht="75" x14ac:dyDescent="0.25">
      <c r="A18" s="3" t="s">
        <v>666</v>
      </c>
      <c r="B18" s="3">
        <v>2</v>
      </c>
      <c r="C18" s="4" t="s">
        <v>23</v>
      </c>
      <c r="D18" s="4" t="s">
        <v>61</v>
      </c>
      <c r="E18" s="3" t="s">
        <v>723</v>
      </c>
      <c r="F18" s="4" t="s">
        <v>724</v>
      </c>
      <c r="G18" s="5"/>
      <c r="H18" s="4" t="s">
        <v>27</v>
      </c>
      <c r="I18" s="6" t="s">
        <v>35</v>
      </c>
      <c r="J18" s="7">
        <v>2</v>
      </c>
      <c r="K18" s="8"/>
      <c r="L18" s="9"/>
      <c r="M18" s="9" t="s">
        <v>826</v>
      </c>
      <c r="N18" s="9" t="s">
        <v>811</v>
      </c>
      <c r="O18" s="9" t="s">
        <v>827</v>
      </c>
      <c r="P18" s="9" t="s">
        <v>828</v>
      </c>
      <c r="Q18" s="10">
        <v>24260</v>
      </c>
      <c r="R18" s="10">
        <v>3262</v>
      </c>
      <c r="S18" s="11">
        <v>1265.58</v>
      </c>
      <c r="T18" s="3" t="b">
        <v>1</v>
      </c>
      <c r="U18" s="3" t="b">
        <v>0</v>
      </c>
      <c r="V18" s="3" t="b">
        <v>1</v>
      </c>
    </row>
    <row r="19" spans="1:22" ht="75" x14ac:dyDescent="0.25">
      <c r="A19" s="3" t="s">
        <v>666</v>
      </c>
      <c r="B19" s="3">
        <v>2</v>
      </c>
      <c r="C19" s="4" t="s">
        <v>23</v>
      </c>
      <c r="D19" s="4" t="s">
        <v>61</v>
      </c>
      <c r="E19" s="3" t="s">
        <v>97</v>
      </c>
      <c r="F19" s="4" t="s">
        <v>728</v>
      </c>
      <c r="G19" s="5"/>
      <c r="H19" s="4" t="s">
        <v>27</v>
      </c>
      <c r="I19" s="6" t="s">
        <v>35</v>
      </c>
      <c r="J19" s="7">
        <v>3</v>
      </c>
      <c r="K19" s="8"/>
      <c r="L19" s="9"/>
      <c r="M19" s="9" t="s">
        <v>829</v>
      </c>
      <c r="N19" s="9" t="s">
        <v>811</v>
      </c>
      <c r="O19" s="9" t="s">
        <v>830</v>
      </c>
      <c r="P19" s="9" t="s">
        <v>831</v>
      </c>
      <c r="Q19" s="10">
        <v>24260</v>
      </c>
      <c r="R19" s="10">
        <v>3262</v>
      </c>
      <c r="S19" s="11">
        <v>1265.58</v>
      </c>
      <c r="T19" s="3" t="b">
        <v>1</v>
      </c>
      <c r="U19" s="3" t="b">
        <v>0</v>
      </c>
      <c r="V19" s="3" t="b">
        <v>1</v>
      </c>
    </row>
    <row r="20" spans="1:22" ht="75" x14ac:dyDescent="0.25">
      <c r="A20" s="3" t="s">
        <v>666</v>
      </c>
      <c r="B20" s="3">
        <v>2</v>
      </c>
      <c r="C20" s="4" t="s">
        <v>23</v>
      </c>
      <c r="D20" s="4" t="s">
        <v>61</v>
      </c>
      <c r="E20" s="3" t="s">
        <v>102</v>
      </c>
      <c r="F20" s="4" t="s">
        <v>732</v>
      </c>
      <c r="G20" s="5"/>
      <c r="H20" s="4" t="s">
        <v>27</v>
      </c>
      <c r="I20" s="6" t="s">
        <v>35</v>
      </c>
      <c r="J20" s="7">
        <v>2</v>
      </c>
      <c r="K20" s="8"/>
      <c r="L20" s="9"/>
      <c r="M20" s="9" t="s">
        <v>832</v>
      </c>
      <c r="N20" s="9" t="s">
        <v>307</v>
      </c>
      <c r="O20" s="9" t="s">
        <v>833</v>
      </c>
      <c r="P20" s="9" t="s">
        <v>834</v>
      </c>
      <c r="Q20" s="10">
        <v>24260</v>
      </c>
      <c r="R20" s="10">
        <v>3262</v>
      </c>
      <c r="S20" s="11">
        <v>1265.58</v>
      </c>
      <c r="T20" s="3" t="b">
        <v>1</v>
      </c>
      <c r="U20" s="3" t="b">
        <v>0</v>
      </c>
      <c r="V20" s="3" t="b">
        <v>1</v>
      </c>
    </row>
    <row r="21" spans="1:22" ht="75" x14ac:dyDescent="0.25">
      <c r="A21" s="3" t="s">
        <v>666</v>
      </c>
      <c r="B21" s="3">
        <v>2</v>
      </c>
      <c r="C21" s="4" t="s">
        <v>23</v>
      </c>
      <c r="D21" s="4" t="s">
        <v>61</v>
      </c>
      <c r="E21" s="3" t="s">
        <v>107</v>
      </c>
      <c r="F21" s="4" t="s">
        <v>93</v>
      </c>
      <c r="G21" s="5"/>
      <c r="H21" s="4" t="s">
        <v>27</v>
      </c>
      <c r="I21" s="6" t="s">
        <v>35</v>
      </c>
      <c r="J21" s="7">
        <v>5</v>
      </c>
      <c r="K21" s="8"/>
      <c r="L21" s="9"/>
      <c r="M21" s="9" t="s">
        <v>835</v>
      </c>
      <c r="N21" s="9" t="s">
        <v>307</v>
      </c>
      <c r="O21" s="9" t="s">
        <v>836</v>
      </c>
      <c r="P21" s="9" t="s">
        <v>837</v>
      </c>
      <c r="Q21" s="10">
        <v>24260</v>
      </c>
      <c r="R21" s="10">
        <v>3262</v>
      </c>
      <c r="S21" s="11">
        <v>1265.58</v>
      </c>
      <c r="T21" s="3" t="b">
        <v>1</v>
      </c>
      <c r="U21" s="3" t="b">
        <v>0</v>
      </c>
      <c r="V21" s="3" t="b">
        <v>1</v>
      </c>
    </row>
    <row r="22" spans="1:22" ht="75" x14ac:dyDescent="0.25">
      <c r="A22" s="3" t="s">
        <v>666</v>
      </c>
      <c r="B22" s="3">
        <v>2</v>
      </c>
      <c r="C22" s="4" t="s">
        <v>23</v>
      </c>
      <c r="D22" s="4" t="s">
        <v>112</v>
      </c>
      <c r="E22" s="3"/>
      <c r="F22" s="4"/>
      <c r="G22" s="5"/>
      <c r="H22" s="4"/>
      <c r="I22" s="6"/>
      <c r="J22" s="7"/>
      <c r="K22" s="8"/>
      <c r="L22" s="9"/>
      <c r="M22" s="9"/>
      <c r="N22" s="9"/>
      <c r="O22" s="9"/>
      <c r="P22" s="9"/>
      <c r="Q22" s="10">
        <v>28099</v>
      </c>
      <c r="R22" s="10">
        <v>3901</v>
      </c>
      <c r="S22" s="11">
        <v>1622.76</v>
      </c>
      <c r="T22" s="3" t="b">
        <v>0</v>
      </c>
      <c r="U22" s="3" t="b">
        <v>1</v>
      </c>
      <c r="V22" s="3" t="b">
        <v>1</v>
      </c>
    </row>
    <row r="23" spans="1:22" ht="75" x14ac:dyDescent="0.25">
      <c r="A23" s="3" t="s">
        <v>666</v>
      </c>
      <c r="B23" s="3">
        <v>2</v>
      </c>
      <c r="C23" s="4" t="s">
        <v>23</v>
      </c>
      <c r="D23" s="4" t="s">
        <v>150</v>
      </c>
      <c r="E23" s="3"/>
      <c r="F23" s="4"/>
      <c r="G23" s="5"/>
      <c r="H23" s="4"/>
      <c r="I23" s="6"/>
      <c r="J23" s="7"/>
      <c r="K23" s="8"/>
      <c r="L23" s="9"/>
      <c r="M23" s="9"/>
      <c r="N23" s="9"/>
      <c r="O23" s="9"/>
      <c r="P23" s="9"/>
      <c r="Q23" s="10">
        <v>27044</v>
      </c>
      <c r="R23" s="10">
        <v>4956</v>
      </c>
      <c r="S23" s="11">
        <v>2059.4699999999998</v>
      </c>
      <c r="T23" s="3" t="b">
        <v>0</v>
      </c>
      <c r="U23" s="3" t="b">
        <v>1</v>
      </c>
      <c r="V23" s="3" t="b">
        <v>1</v>
      </c>
    </row>
    <row r="24" spans="1:22" ht="75" x14ac:dyDescent="0.25">
      <c r="A24" s="3" t="s">
        <v>666</v>
      </c>
      <c r="B24" s="3">
        <v>2</v>
      </c>
      <c r="C24" s="4" t="s">
        <v>23</v>
      </c>
      <c r="D24" s="4" t="s">
        <v>221</v>
      </c>
      <c r="E24" s="3" t="s">
        <v>222</v>
      </c>
      <c r="F24" s="4" t="s">
        <v>739</v>
      </c>
      <c r="G24" s="5"/>
      <c r="H24" s="4" t="s">
        <v>27</v>
      </c>
      <c r="I24" s="6"/>
      <c r="J24" s="7"/>
      <c r="K24" s="8"/>
      <c r="L24" s="9" t="s">
        <v>838</v>
      </c>
      <c r="M24" s="9" t="s">
        <v>839</v>
      </c>
      <c r="N24" s="9" t="s">
        <v>811</v>
      </c>
      <c r="O24" s="9" t="s">
        <v>840</v>
      </c>
      <c r="P24" s="9" t="s">
        <v>841</v>
      </c>
      <c r="Q24" s="10">
        <v>26530</v>
      </c>
      <c r="R24" s="10">
        <v>2567</v>
      </c>
      <c r="S24" s="11">
        <v>1079.8800000000001</v>
      </c>
      <c r="T24" s="3" t="b">
        <v>1</v>
      </c>
      <c r="U24" s="3" t="b">
        <v>0</v>
      </c>
      <c r="V24" s="3" t="b">
        <v>1</v>
      </c>
    </row>
    <row r="25" spans="1:22" ht="75" x14ac:dyDescent="0.25">
      <c r="A25" s="3" t="s">
        <v>666</v>
      </c>
      <c r="B25" s="3">
        <v>2</v>
      </c>
      <c r="C25" s="4" t="s">
        <v>23</v>
      </c>
      <c r="D25" s="4" t="s">
        <v>221</v>
      </c>
      <c r="E25" s="3" t="s">
        <v>227</v>
      </c>
      <c r="F25" s="4" t="s">
        <v>228</v>
      </c>
      <c r="G25" s="5"/>
      <c r="H25" s="4" t="s">
        <v>27</v>
      </c>
      <c r="I25" s="6"/>
      <c r="J25" s="7"/>
      <c r="K25" s="8"/>
      <c r="L25" s="9" t="s">
        <v>838</v>
      </c>
      <c r="M25" s="9" t="s">
        <v>842</v>
      </c>
      <c r="N25" s="9" t="s">
        <v>307</v>
      </c>
      <c r="O25" s="9" t="s">
        <v>843</v>
      </c>
      <c r="P25" s="9" t="s">
        <v>844</v>
      </c>
      <c r="Q25" s="10">
        <v>26530</v>
      </c>
      <c r="R25" s="10">
        <v>2567</v>
      </c>
      <c r="S25" s="11">
        <v>1079.8800000000001</v>
      </c>
      <c r="T25" s="3" t="b">
        <v>1</v>
      </c>
      <c r="U25" s="3" t="b">
        <v>0</v>
      </c>
      <c r="V25" s="3" t="b">
        <v>1</v>
      </c>
    </row>
    <row r="26" spans="1:22" ht="75" x14ac:dyDescent="0.25">
      <c r="A26" s="3" t="s">
        <v>666</v>
      </c>
      <c r="B26" s="3">
        <v>2</v>
      </c>
      <c r="C26" s="4" t="s">
        <v>23</v>
      </c>
      <c r="D26" s="4" t="s">
        <v>221</v>
      </c>
      <c r="E26" s="3" t="s">
        <v>232</v>
      </c>
      <c r="F26" s="4" t="s">
        <v>233</v>
      </c>
      <c r="G26" s="5"/>
      <c r="H26" s="4" t="s">
        <v>27</v>
      </c>
      <c r="I26" s="6"/>
      <c r="J26" s="7"/>
      <c r="K26" s="8"/>
      <c r="L26" s="9" t="s">
        <v>747</v>
      </c>
      <c r="M26" s="9" t="s">
        <v>845</v>
      </c>
      <c r="N26" s="9" t="s">
        <v>811</v>
      </c>
      <c r="O26" s="9" t="s">
        <v>846</v>
      </c>
      <c r="P26" s="9" t="s">
        <v>847</v>
      </c>
      <c r="Q26" s="10">
        <v>26530</v>
      </c>
      <c r="R26" s="10">
        <v>2567</v>
      </c>
      <c r="S26" s="11">
        <v>1079.8800000000001</v>
      </c>
      <c r="T26" s="3" t="b">
        <v>1</v>
      </c>
      <c r="U26" s="3" t="b">
        <v>0</v>
      </c>
      <c r="V26" s="3" t="b">
        <v>1</v>
      </c>
    </row>
    <row r="27" spans="1:22" ht="75" x14ac:dyDescent="0.25">
      <c r="A27" s="3" t="s">
        <v>666</v>
      </c>
      <c r="B27" s="3">
        <v>2</v>
      </c>
      <c r="C27" s="4" t="s">
        <v>23</v>
      </c>
      <c r="D27" s="4" t="s">
        <v>221</v>
      </c>
      <c r="E27" s="3" t="s">
        <v>237</v>
      </c>
      <c r="F27" s="4" t="s">
        <v>238</v>
      </c>
      <c r="G27" s="5"/>
      <c r="H27" s="4" t="s">
        <v>27</v>
      </c>
      <c r="I27" s="6"/>
      <c r="J27" s="7"/>
      <c r="K27" s="8"/>
      <c r="L27" s="9" t="s">
        <v>751</v>
      </c>
      <c r="M27" s="9" t="s">
        <v>848</v>
      </c>
      <c r="N27" s="9" t="s">
        <v>811</v>
      </c>
      <c r="O27" s="9" t="s">
        <v>849</v>
      </c>
      <c r="P27" s="9" t="s">
        <v>850</v>
      </c>
      <c r="Q27" s="10">
        <v>26530</v>
      </c>
      <c r="R27" s="10">
        <v>2567</v>
      </c>
      <c r="S27" s="11">
        <v>1079.8800000000001</v>
      </c>
      <c r="T27" s="3" t="b">
        <v>1</v>
      </c>
      <c r="U27" s="3" t="b">
        <v>0</v>
      </c>
      <c r="V27" s="3" t="b">
        <v>1</v>
      </c>
    </row>
    <row r="28" spans="1:22" ht="75" x14ac:dyDescent="0.25">
      <c r="A28" s="3" t="s">
        <v>666</v>
      </c>
      <c r="B28" s="3">
        <v>2</v>
      </c>
      <c r="C28" s="4" t="s">
        <v>23</v>
      </c>
      <c r="D28" s="4" t="s">
        <v>221</v>
      </c>
      <c r="E28" s="3" t="s">
        <v>242</v>
      </c>
      <c r="F28" s="4" t="s">
        <v>243</v>
      </c>
      <c r="G28" s="5"/>
      <c r="H28" s="4" t="s">
        <v>27</v>
      </c>
      <c r="I28" s="6"/>
      <c r="J28" s="7"/>
      <c r="K28" s="8"/>
      <c r="L28" s="9" t="s">
        <v>755</v>
      </c>
      <c r="M28" s="9" t="s">
        <v>851</v>
      </c>
      <c r="N28" s="9" t="s">
        <v>307</v>
      </c>
      <c r="O28" s="9" t="s">
        <v>852</v>
      </c>
      <c r="P28" s="9" t="s">
        <v>853</v>
      </c>
      <c r="Q28" s="10">
        <v>26530</v>
      </c>
      <c r="R28" s="10">
        <v>2567</v>
      </c>
      <c r="S28" s="11">
        <v>1079.8800000000001</v>
      </c>
      <c r="T28" s="3" t="b">
        <v>1</v>
      </c>
      <c r="U28" s="3" t="b">
        <v>0</v>
      </c>
      <c r="V28" s="3" t="b">
        <v>1</v>
      </c>
    </row>
    <row r="29" spans="1:22" ht="75" x14ac:dyDescent="0.25">
      <c r="A29" s="3" t="s">
        <v>666</v>
      </c>
      <c r="B29" s="3">
        <v>2</v>
      </c>
      <c r="C29" s="4" t="s">
        <v>23</v>
      </c>
      <c r="D29" s="4" t="s">
        <v>221</v>
      </c>
      <c r="E29" s="3" t="s">
        <v>247</v>
      </c>
      <c r="F29" s="4" t="s">
        <v>248</v>
      </c>
      <c r="G29" s="5"/>
      <c r="H29" s="4" t="s">
        <v>27</v>
      </c>
      <c r="I29" s="6"/>
      <c r="J29" s="7"/>
      <c r="K29" s="8"/>
      <c r="L29" s="9" t="s">
        <v>759</v>
      </c>
      <c r="M29" s="9" t="s">
        <v>854</v>
      </c>
      <c r="N29" s="9" t="s">
        <v>811</v>
      </c>
      <c r="O29" s="9" t="s">
        <v>855</v>
      </c>
      <c r="P29" s="9" t="s">
        <v>856</v>
      </c>
      <c r="Q29" s="10">
        <v>26530</v>
      </c>
      <c r="R29" s="10">
        <v>2567</v>
      </c>
      <c r="S29" s="11">
        <v>1079.8800000000001</v>
      </c>
      <c r="T29" s="3" t="b">
        <v>1</v>
      </c>
      <c r="U29" s="3" t="b">
        <v>0</v>
      </c>
      <c r="V29" s="3" t="b">
        <v>1</v>
      </c>
    </row>
    <row r="30" spans="1:22" ht="75" x14ac:dyDescent="0.25">
      <c r="A30" s="3" t="s">
        <v>666</v>
      </c>
      <c r="B30" s="3">
        <v>2</v>
      </c>
      <c r="C30" s="4" t="s">
        <v>23</v>
      </c>
      <c r="D30" s="4" t="s">
        <v>221</v>
      </c>
      <c r="E30" s="3" t="s">
        <v>252</v>
      </c>
      <c r="F30" s="4" t="s">
        <v>253</v>
      </c>
      <c r="G30" s="5"/>
      <c r="H30" s="4" t="s">
        <v>27</v>
      </c>
      <c r="I30" s="6"/>
      <c r="J30" s="7"/>
      <c r="K30" s="8"/>
      <c r="L30" s="9" t="s">
        <v>763</v>
      </c>
      <c r="M30" s="9" t="s">
        <v>857</v>
      </c>
      <c r="N30" s="9" t="s">
        <v>307</v>
      </c>
      <c r="O30" s="9" t="s">
        <v>858</v>
      </c>
      <c r="P30" s="9" t="s">
        <v>859</v>
      </c>
      <c r="Q30" s="10">
        <v>26530</v>
      </c>
      <c r="R30" s="10">
        <v>2567</v>
      </c>
      <c r="S30" s="11">
        <v>1079.8800000000001</v>
      </c>
      <c r="T30" s="3" t="b">
        <v>1</v>
      </c>
      <c r="U30" s="3" t="b">
        <v>0</v>
      </c>
      <c r="V30" s="3" t="b">
        <v>1</v>
      </c>
    </row>
    <row r="31" spans="1:22" ht="75" x14ac:dyDescent="0.25">
      <c r="A31" s="3" t="s">
        <v>666</v>
      </c>
      <c r="B31" s="3">
        <v>2</v>
      </c>
      <c r="C31" s="4" t="s">
        <v>23</v>
      </c>
      <c r="D31" s="4" t="s">
        <v>221</v>
      </c>
      <c r="E31" s="3" t="s">
        <v>257</v>
      </c>
      <c r="F31" s="4" t="s">
        <v>258</v>
      </c>
      <c r="G31" s="5"/>
      <c r="H31" s="4" t="s">
        <v>27</v>
      </c>
      <c r="I31" s="6"/>
      <c r="J31" s="7"/>
      <c r="K31" s="8"/>
      <c r="L31" s="9" t="s">
        <v>759</v>
      </c>
      <c r="M31" s="9" t="s">
        <v>860</v>
      </c>
      <c r="N31" s="9" t="s">
        <v>307</v>
      </c>
      <c r="O31" s="9" t="s">
        <v>861</v>
      </c>
      <c r="P31" s="9" t="s">
        <v>862</v>
      </c>
      <c r="Q31" s="10">
        <v>26530</v>
      </c>
      <c r="R31" s="10">
        <v>2567</v>
      </c>
      <c r="S31" s="11">
        <v>1079.8800000000001</v>
      </c>
      <c r="T31" s="3" t="b">
        <v>1</v>
      </c>
      <c r="U31" s="3" t="b">
        <v>0</v>
      </c>
      <c r="V31" s="3" t="b">
        <v>1</v>
      </c>
    </row>
    <row r="32" spans="1:22" ht="75" x14ac:dyDescent="0.25">
      <c r="A32" s="3" t="s">
        <v>666</v>
      </c>
      <c r="B32" s="3">
        <v>2</v>
      </c>
      <c r="C32" s="4" t="s">
        <v>23</v>
      </c>
      <c r="D32" s="4" t="s">
        <v>221</v>
      </c>
      <c r="E32" s="3" t="s">
        <v>262</v>
      </c>
      <c r="F32" s="4" t="s">
        <v>263</v>
      </c>
      <c r="G32" s="5"/>
      <c r="H32" s="4" t="s">
        <v>27</v>
      </c>
      <c r="I32" s="6"/>
      <c r="J32" s="7"/>
      <c r="K32" s="8"/>
      <c r="L32" s="9" t="s">
        <v>759</v>
      </c>
      <c r="M32" s="9" t="s">
        <v>863</v>
      </c>
      <c r="N32" s="9" t="s">
        <v>811</v>
      </c>
      <c r="O32" s="9" t="s">
        <v>864</v>
      </c>
      <c r="P32" s="9" t="s">
        <v>865</v>
      </c>
      <c r="Q32" s="10">
        <v>26530</v>
      </c>
      <c r="R32" s="10">
        <v>2567</v>
      </c>
      <c r="S32" s="11">
        <v>1079.8800000000001</v>
      </c>
      <c r="T32" s="3" t="b">
        <v>1</v>
      </c>
      <c r="U32" s="3" t="b">
        <v>0</v>
      </c>
      <c r="V32" s="3" t="b">
        <v>1</v>
      </c>
    </row>
    <row r="33" spans="1:22" ht="75" x14ac:dyDescent="0.25">
      <c r="A33" s="3" t="s">
        <v>666</v>
      </c>
      <c r="B33" s="3">
        <v>2</v>
      </c>
      <c r="C33" s="4" t="s">
        <v>23</v>
      </c>
      <c r="D33" s="4" t="s">
        <v>221</v>
      </c>
      <c r="E33" s="3" t="s">
        <v>267</v>
      </c>
      <c r="F33" s="4" t="s">
        <v>268</v>
      </c>
      <c r="G33" s="5"/>
      <c r="H33" s="4" t="s">
        <v>27</v>
      </c>
      <c r="I33" s="6"/>
      <c r="J33" s="7"/>
      <c r="K33" s="8"/>
      <c r="L33" s="9" t="s">
        <v>777</v>
      </c>
      <c r="M33" s="9" t="s">
        <v>866</v>
      </c>
      <c r="N33" s="9" t="s">
        <v>811</v>
      </c>
      <c r="O33" s="9" t="s">
        <v>867</v>
      </c>
      <c r="P33" s="9" t="s">
        <v>868</v>
      </c>
      <c r="Q33" s="10">
        <v>26530</v>
      </c>
      <c r="R33" s="10">
        <v>2567</v>
      </c>
      <c r="S33" s="11">
        <v>1079.8800000000001</v>
      </c>
      <c r="T33" s="3" t="b">
        <v>1</v>
      </c>
      <c r="U33" s="3" t="b">
        <v>0</v>
      </c>
      <c r="V33" s="3" t="b">
        <v>1</v>
      </c>
    </row>
    <row r="34" spans="1:22" ht="75" x14ac:dyDescent="0.25">
      <c r="A34" s="3" t="s">
        <v>666</v>
      </c>
      <c r="B34" s="3">
        <v>2</v>
      </c>
      <c r="C34" s="4" t="s">
        <v>23</v>
      </c>
      <c r="D34" s="4" t="s">
        <v>221</v>
      </c>
      <c r="E34" s="3" t="s">
        <v>272</v>
      </c>
      <c r="F34" s="4" t="s">
        <v>273</v>
      </c>
      <c r="G34" s="5"/>
      <c r="H34" s="4" t="s">
        <v>27</v>
      </c>
      <c r="I34" s="6"/>
      <c r="J34" s="7"/>
      <c r="K34" s="8"/>
      <c r="L34" s="9" t="s">
        <v>777</v>
      </c>
      <c r="M34" s="9" t="s">
        <v>869</v>
      </c>
      <c r="N34" s="9" t="s">
        <v>811</v>
      </c>
      <c r="O34" s="9" t="s">
        <v>870</v>
      </c>
      <c r="P34" s="9" t="s">
        <v>871</v>
      </c>
      <c r="Q34" s="10">
        <v>26530</v>
      </c>
      <c r="R34" s="10">
        <v>2567</v>
      </c>
      <c r="S34" s="11">
        <v>1079.8800000000001</v>
      </c>
      <c r="T34" s="3" t="b">
        <v>1</v>
      </c>
      <c r="U34" s="3" t="b">
        <v>0</v>
      </c>
      <c r="V34" s="3" t="b">
        <v>1</v>
      </c>
    </row>
    <row r="35" spans="1:22" ht="75" x14ac:dyDescent="0.25">
      <c r="A35" s="3" t="s">
        <v>666</v>
      </c>
      <c r="B35" s="3">
        <v>2</v>
      </c>
      <c r="C35" s="4" t="s">
        <v>23</v>
      </c>
      <c r="D35" s="4" t="s">
        <v>221</v>
      </c>
      <c r="E35" s="3" t="s">
        <v>277</v>
      </c>
      <c r="F35" s="4" t="s">
        <v>278</v>
      </c>
      <c r="G35" s="5"/>
      <c r="H35" s="4" t="s">
        <v>27</v>
      </c>
      <c r="I35" s="6"/>
      <c r="J35" s="7"/>
      <c r="K35" s="8"/>
      <c r="L35" s="9" t="s">
        <v>781</v>
      </c>
      <c r="M35" s="9" t="s">
        <v>872</v>
      </c>
      <c r="N35" s="9" t="s">
        <v>307</v>
      </c>
      <c r="O35" s="9" t="s">
        <v>873</v>
      </c>
      <c r="P35" s="9" t="s">
        <v>874</v>
      </c>
      <c r="Q35" s="10">
        <v>26530</v>
      </c>
      <c r="R35" s="10">
        <v>2567</v>
      </c>
      <c r="S35" s="11">
        <v>1079.8800000000001</v>
      </c>
      <c r="T35" s="3" t="b">
        <v>1</v>
      </c>
      <c r="U35" s="3" t="b">
        <v>0</v>
      </c>
      <c r="V35" s="3" t="b">
        <v>1</v>
      </c>
    </row>
    <row r="36" spans="1:22" ht="75" x14ac:dyDescent="0.25">
      <c r="A36" s="3" t="s">
        <v>666</v>
      </c>
      <c r="B36" s="3">
        <v>2</v>
      </c>
      <c r="C36" s="4" t="s">
        <v>23</v>
      </c>
      <c r="D36" s="4" t="s">
        <v>221</v>
      </c>
      <c r="E36" s="3" t="s">
        <v>282</v>
      </c>
      <c r="F36" s="4" t="s">
        <v>283</v>
      </c>
      <c r="G36" s="5"/>
      <c r="H36" s="4" t="s">
        <v>27</v>
      </c>
      <c r="I36" s="6"/>
      <c r="J36" s="7"/>
      <c r="K36" s="8"/>
      <c r="L36" s="9" t="s">
        <v>777</v>
      </c>
      <c r="M36" s="9" t="s">
        <v>875</v>
      </c>
      <c r="N36" s="9" t="s">
        <v>307</v>
      </c>
      <c r="O36" s="9" t="s">
        <v>876</v>
      </c>
      <c r="P36" s="9" t="s">
        <v>877</v>
      </c>
      <c r="Q36" s="10">
        <v>26530</v>
      </c>
      <c r="R36" s="10">
        <v>2567</v>
      </c>
      <c r="S36" s="11">
        <v>1079.8800000000001</v>
      </c>
      <c r="T36" s="3" t="b">
        <v>1</v>
      </c>
      <c r="U36" s="3" t="b">
        <v>0</v>
      </c>
      <c r="V36" s="3" t="b">
        <v>1</v>
      </c>
    </row>
  </sheetData>
  <autoFilter ref="A1:V36" xr:uid="{00000000-0009-0000-0000-000006000000}"/>
  <conditionalFormatting sqref="D2:D36">
    <cfRule type="containsText" dxfId="164" priority="20" operator="containsText" text="Climate And Resilience">
      <formula>NOT(ISERROR(SEARCH("Climate And Resilience",D2)))</formula>
    </cfRule>
    <cfRule type="containsText" dxfId="163" priority="21" operator="containsText" text="Leadership">
      <formula>NOT(ISERROR(SEARCH("Leadership",D2)))</formula>
    </cfRule>
    <cfRule type="containsText" dxfId="162" priority="22" operator="containsText" text="Natural World">
      <formula>NOT(ISERROR(SEARCH("Natural World",D2)))</formula>
    </cfRule>
    <cfRule type="containsText" dxfId="161" priority="23" operator="containsText" text="Quality Of Life">
      <formula>NOT(ISERROR(SEARCH("Quality Of Life",D2)))</formula>
    </cfRule>
    <cfRule type="containsText" dxfId="160" priority="24" operator="containsText" text="Resource Allocation">
      <formula>NOT(ISERROR(SEARCH("Resource Allocation",D2)))</formula>
    </cfRule>
  </conditionalFormatting>
  <conditionalFormatting sqref="G2:G36">
    <cfRule type="dataBar" priority="849">
      <dataBar>
        <cfvo type="min"/>
        <cfvo type="max"/>
        <color rgb="FF5B9BD5"/>
      </dataBar>
    </cfRule>
  </conditionalFormatting>
  <conditionalFormatting sqref="H2:H36">
    <cfRule type="containsText" dxfId="159" priority="10" operator="containsText" text="Not Applicable">
      <formula>NOT(ISERROR(SEARCH("Not Applicable",H2)))</formula>
    </cfRule>
    <cfRule type="containsText" dxfId="158" priority="11" operator="containsText" text="Applicable">
      <formula>NOT(ISERROR(SEARCH("Applicable",H2)))</formula>
    </cfRule>
  </conditionalFormatting>
  <conditionalFormatting sqref="I2:I36">
    <cfRule type="containsText" dxfId="157" priority="4" operator="containsText" text="No Level">
      <formula>NOT(ISERROR(SEARCH("No Level",I2)))</formula>
    </cfRule>
    <cfRule type="containsText" dxfId="156" priority="5" operator="containsText" text="Improved">
      <formula>NOT(ISERROR(SEARCH("Improved",I2)))</formula>
    </cfRule>
    <cfRule type="containsText" dxfId="155" priority="6" operator="containsText" text="Enhanced">
      <formula>NOT(ISERROR(SEARCH("Enhanced",I2)))</formula>
    </cfRule>
    <cfRule type="containsText" dxfId="154" priority="7" operator="containsText" text="Superior">
      <formula>NOT(ISERROR(SEARCH("Superior",I2)))</formula>
    </cfRule>
    <cfRule type="containsText" dxfId="153" priority="8" operator="containsText" text="Conserving">
      <formula>NOT(ISERROR(SEARCH("Conserving",I2)))</formula>
    </cfRule>
    <cfRule type="containsText" dxfId="152" priority="9" operator="containsText" text="Restorative">
      <formula>NOT(ISERROR(SEARCH("Restorative",I2)))</formula>
    </cfRule>
  </conditionalFormatting>
  <conditionalFormatting sqref="J2:J36">
    <cfRule type="dataBar" priority="850">
      <dataBar>
        <cfvo type="min"/>
        <cfvo type="max"/>
        <color rgb="FF70AD47"/>
      </dataBar>
    </cfRule>
  </conditionalFormatting>
  <conditionalFormatting sqref="K2:K36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36">
    <cfRule type="dataBar" priority="851">
      <dataBar>
        <cfvo type="min"/>
        <cfvo type="max"/>
        <color rgb="FFA5A5A5"/>
      </dataBar>
    </cfRule>
  </conditionalFormatting>
  <conditionalFormatting sqref="S2:S36">
    <cfRule type="dataBar" priority="852">
      <dataBar>
        <cfvo type="min"/>
        <cfvo type="max"/>
        <color rgb="FFED7D31"/>
      </dataBar>
    </cfRule>
  </conditionalFormatting>
  <conditionalFormatting sqref="T2:T36">
    <cfRule type="cellIs" dxfId="151" priority="14" operator="equal">
      <formula>TRUE</formula>
    </cfRule>
    <cfRule type="cellIs" dxfId="150" priority="15" operator="equal">
      <formula>FALSE</formula>
    </cfRule>
  </conditionalFormatting>
  <conditionalFormatting sqref="U2:U36">
    <cfRule type="cellIs" dxfId="149" priority="16" operator="equal">
      <formula>TRUE</formula>
    </cfRule>
    <cfRule type="cellIs" dxfId="148" priority="17" operator="equal">
      <formula>FALSE</formula>
    </cfRule>
  </conditionalFormatting>
  <conditionalFormatting sqref="V2:V36">
    <cfRule type="cellIs" dxfId="147" priority="18" operator="equal">
      <formula>TRUE</formula>
    </cfRule>
    <cfRule type="cellIs" dxfId="146" priority="19" operator="equal">
      <formula>FALSE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6"/>
  <sheetViews>
    <sheetView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ht="75" x14ac:dyDescent="0.25">
      <c r="A2" s="3" t="s">
        <v>666</v>
      </c>
      <c r="B2" s="3">
        <v>3</v>
      </c>
      <c r="C2" s="4" t="s">
        <v>23</v>
      </c>
      <c r="D2" s="4" t="s">
        <v>24</v>
      </c>
      <c r="E2" s="3" t="s">
        <v>667</v>
      </c>
      <c r="F2" s="4" t="s">
        <v>668</v>
      </c>
      <c r="G2" s="5"/>
      <c r="H2" s="4" t="s">
        <v>27</v>
      </c>
      <c r="I2" s="6" t="s">
        <v>28</v>
      </c>
      <c r="J2" s="7">
        <v>0</v>
      </c>
      <c r="K2" s="8"/>
      <c r="L2" s="9"/>
      <c r="M2" s="9" t="s">
        <v>669</v>
      </c>
      <c r="N2" s="9" t="s">
        <v>670</v>
      </c>
      <c r="O2" s="9" t="s">
        <v>671</v>
      </c>
      <c r="P2" s="9" t="s">
        <v>672</v>
      </c>
      <c r="Q2" s="10">
        <v>22526</v>
      </c>
      <c r="R2" s="10">
        <v>2623</v>
      </c>
      <c r="S2" s="11">
        <v>1016.63</v>
      </c>
      <c r="T2" s="3" t="b">
        <v>1</v>
      </c>
      <c r="U2" s="3" t="b">
        <v>0</v>
      </c>
      <c r="V2" s="3" t="b">
        <v>1</v>
      </c>
    </row>
    <row r="3" spans="1:22" ht="75" x14ac:dyDescent="0.25">
      <c r="A3" s="3" t="s">
        <v>666</v>
      </c>
      <c r="B3" s="3">
        <v>3</v>
      </c>
      <c r="C3" s="4" t="s">
        <v>23</v>
      </c>
      <c r="D3" s="4" t="s">
        <v>24</v>
      </c>
      <c r="E3" s="3" t="s">
        <v>673</v>
      </c>
      <c r="F3" s="4" t="s">
        <v>674</v>
      </c>
      <c r="G3" s="5"/>
      <c r="H3" s="4" t="s">
        <v>27</v>
      </c>
      <c r="I3" s="6" t="s">
        <v>28</v>
      </c>
      <c r="J3" s="7">
        <v>0</v>
      </c>
      <c r="K3" s="8"/>
      <c r="L3" s="9"/>
      <c r="M3" s="9" t="s">
        <v>675</v>
      </c>
      <c r="N3" s="9" t="s">
        <v>30</v>
      </c>
      <c r="O3" s="9" t="s">
        <v>676</v>
      </c>
      <c r="P3" s="9" t="s">
        <v>677</v>
      </c>
      <c r="Q3" s="10">
        <v>22526</v>
      </c>
      <c r="R3" s="10">
        <v>2623</v>
      </c>
      <c r="S3" s="11">
        <v>1016.63</v>
      </c>
      <c r="T3" s="3" t="b">
        <v>1</v>
      </c>
      <c r="U3" s="3" t="b">
        <v>0</v>
      </c>
      <c r="V3" s="3" t="b">
        <v>1</v>
      </c>
    </row>
    <row r="4" spans="1:22" ht="75" x14ac:dyDescent="0.25">
      <c r="A4" s="3" t="s">
        <v>666</v>
      </c>
      <c r="B4" s="3">
        <v>3</v>
      </c>
      <c r="C4" s="4" t="s">
        <v>23</v>
      </c>
      <c r="D4" s="4" t="s">
        <v>24</v>
      </c>
      <c r="E4" s="3" t="s">
        <v>678</v>
      </c>
      <c r="F4" s="4" t="s">
        <v>679</v>
      </c>
      <c r="G4" s="5"/>
      <c r="H4" s="4" t="s">
        <v>27</v>
      </c>
      <c r="I4" s="6" t="s">
        <v>28</v>
      </c>
      <c r="J4" s="7">
        <v>0</v>
      </c>
      <c r="K4" s="8"/>
      <c r="L4" s="9"/>
      <c r="M4" s="9" t="s">
        <v>680</v>
      </c>
      <c r="N4" s="9" t="s">
        <v>30</v>
      </c>
      <c r="O4" s="9" t="s">
        <v>681</v>
      </c>
      <c r="P4" s="9" t="s">
        <v>682</v>
      </c>
      <c r="Q4" s="10">
        <v>22526</v>
      </c>
      <c r="R4" s="10">
        <v>2623</v>
      </c>
      <c r="S4" s="11">
        <v>1016.63</v>
      </c>
      <c r="T4" s="3" t="b">
        <v>1</v>
      </c>
      <c r="U4" s="3" t="b">
        <v>0</v>
      </c>
      <c r="V4" s="3" t="b">
        <v>1</v>
      </c>
    </row>
    <row r="5" spans="1:22" ht="75" x14ac:dyDescent="0.25">
      <c r="A5" s="3" t="s">
        <v>666</v>
      </c>
      <c r="B5" s="3">
        <v>3</v>
      </c>
      <c r="C5" s="4" t="s">
        <v>23</v>
      </c>
      <c r="D5" s="4" t="s">
        <v>24</v>
      </c>
      <c r="E5" s="3" t="s">
        <v>25</v>
      </c>
      <c r="F5" s="4" t="s">
        <v>26</v>
      </c>
      <c r="G5" s="5"/>
      <c r="H5" s="4" t="s">
        <v>27</v>
      </c>
      <c r="I5" s="6" t="s">
        <v>28</v>
      </c>
      <c r="J5" s="7">
        <v>0</v>
      </c>
      <c r="K5" s="8"/>
      <c r="L5" s="9"/>
      <c r="M5" s="9" t="s">
        <v>683</v>
      </c>
      <c r="N5" s="9" t="s">
        <v>30</v>
      </c>
      <c r="O5" s="9" t="s">
        <v>793</v>
      </c>
      <c r="P5" s="9" t="s">
        <v>794</v>
      </c>
      <c r="Q5" s="10">
        <v>22526</v>
      </c>
      <c r="R5" s="10">
        <v>2623</v>
      </c>
      <c r="S5" s="11">
        <v>1016.63</v>
      </c>
      <c r="T5" s="3" t="b">
        <v>1</v>
      </c>
      <c r="U5" s="3" t="b">
        <v>0</v>
      </c>
      <c r="V5" s="3" t="b">
        <v>1</v>
      </c>
    </row>
    <row r="6" spans="1:22" ht="75" x14ac:dyDescent="0.25">
      <c r="A6" s="3" t="s">
        <v>666</v>
      </c>
      <c r="B6" s="3">
        <v>3</v>
      </c>
      <c r="C6" s="4" t="s">
        <v>23</v>
      </c>
      <c r="D6" s="4" t="s">
        <v>24</v>
      </c>
      <c r="E6" s="3" t="s">
        <v>33</v>
      </c>
      <c r="F6" s="4" t="s">
        <v>34</v>
      </c>
      <c r="G6" s="5"/>
      <c r="H6" s="4" t="s">
        <v>27</v>
      </c>
      <c r="I6" s="6" t="s">
        <v>28</v>
      </c>
      <c r="J6" s="7">
        <v>0</v>
      </c>
      <c r="K6" s="8"/>
      <c r="L6" s="9"/>
      <c r="M6" s="9" t="s">
        <v>686</v>
      </c>
      <c r="N6" s="9" t="s">
        <v>30</v>
      </c>
      <c r="O6" s="9" t="s">
        <v>687</v>
      </c>
      <c r="P6" s="9" t="s">
        <v>688</v>
      </c>
      <c r="Q6" s="10">
        <v>22526</v>
      </c>
      <c r="R6" s="10">
        <v>2623</v>
      </c>
      <c r="S6" s="11">
        <v>1016.63</v>
      </c>
      <c r="T6" s="3" t="b">
        <v>1</v>
      </c>
      <c r="U6" s="3" t="b">
        <v>0</v>
      </c>
      <c r="V6" s="3" t="b">
        <v>1</v>
      </c>
    </row>
    <row r="7" spans="1:22" ht="75" x14ac:dyDescent="0.25">
      <c r="A7" s="3" t="s">
        <v>666</v>
      </c>
      <c r="B7" s="3">
        <v>3</v>
      </c>
      <c r="C7" s="4" t="s">
        <v>23</v>
      </c>
      <c r="D7" s="4" t="s">
        <v>24</v>
      </c>
      <c r="E7" s="3" t="s">
        <v>39</v>
      </c>
      <c r="F7" s="4" t="s">
        <v>40</v>
      </c>
      <c r="G7" s="5"/>
      <c r="H7" s="4" t="s">
        <v>27</v>
      </c>
      <c r="I7" s="6" t="s">
        <v>28</v>
      </c>
      <c r="J7" s="7">
        <v>0</v>
      </c>
      <c r="K7" s="8"/>
      <c r="L7" s="9"/>
      <c r="M7" s="9" t="s">
        <v>689</v>
      </c>
      <c r="N7" s="9" t="s">
        <v>42</v>
      </c>
      <c r="O7" s="9" t="s">
        <v>43</v>
      </c>
      <c r="P7" s="9" t="s">
        <v>690</v>
      </c>
      <c r="Q7" s="10">
        <v>22526</v>
      </c>
      <c r="R7" s="10">
        <v>2623</v>
      </c>
      <c r="S7" s="11">
        <v>1016.63</v>
      </c>
      <c r="T7" s="3" t="b">
        <v>1</v>
      </c>
      <c r="U7" s="3" t="b">
        <v>0</v>
      </c>
      <c r="V7" s="3" t="b">
        <v>1</v>
      </c>
    </row>
    <row r="8" spans="1:22" ht="75" x14ac:dyDescent="0.25">
      <c r="A8" s="3" t="s">
        <v>666</v>
      </c>
      <c r="B8" s="3">
        <v>3</v>
      </c>
      <c r="C8" s="4" t="s">
        <v>23</v>
      </c>
      <c r="D8" s="4" t="s">
        <v>24</v>
      </c>
      <c r="E8" s="3" t="s">
        <v>45</v>
      </c>
      <c r="F8" s="4" t="s">
        <v>46</v>
      </c>
      <c r="G8" s="5"/>
      <c r="H8" s="4" t="s">
        <v>27</v>
      </c>
      <c r="I8" s="6" t="s">
        <v>28</v>
      </c>
      <c r="J8" s="7">
        <v>0</v>
      </c>
      <c r="K8" s="8"/>
      <c r="L8" s="9"/>
      <c r="M8" s="9" t="s">
        <v>799</v>
      </c>
      <c r="N8" s="9" t="s">
        <v>48</v>
      </c>
      <c r="O8" s="9" t="s">
        <v>692</v>
      </c>
      <c r="P8" s="9" t="s">
        <v>693</v>
      </c>
      <c r="Q8" s="10">
        <v>22526</v>
      </c>
      <c r="R8" s="10">
        <v>2623</v>
      </c>
      <c r="S8" s="11">
        <v>1016.63</v>
      </c>
      <c r="T8" s="3" t="b">
        <v>1</v>
      </c>
      <c r="U8" s="3" t="b">
        <v>0</v>
      </c>
      <c r="V8" s="3" t="b">
        <v>1</v>
      </c>
    </row>
    <row r="9" spans="1:22" ht="75" x14ac:dyDescent="0.25">
      <c r="A9" s="3" t="s">
        <v>666</v>
      </c>
      <c r="B9" s="3">
        <v>3</v>
      </c>
      <c r="C9" s="4" t="s">
        <v>23</v>
      </c>
      <c r="D9" s="4" t="s">
        <v>24</v>
      </c>
      <c r="E9" s="3" t="s">
        <v>51</v>
      </c>
      <c r="F9" s="4" t="s">
        <v>52</v>
      </c>
      <c r="G9" s="5"/>
      <c r="H9" s="4" t="s">
        <v>27</v>
      </c>
      <c r="I9" s="6" t="s">
        <v>28</v>
      </c>
      <c r="J9" s="7">
        <v>0</v>
      </c>
      <c r="K9" s="8"/>
      <c r="L9" s="9"/>
      <c r="M9" s="9" t="s">
        <v>694</v>
      </c>
      <c r="N9" s="9" t="s">
        <v>42</v>
      </c>
      <c r="O9" s="9" t="s">
        <v>54</v>
      </c>
      <c r="P9" s="9" t="s">
        <v>695</v>
      </c>
      <c r="Q9" s="10">
        <v>22526</v>
      </c>
      <c r="R9" s="10">
        <v>2623</v>
      </c>
      <c r="S9" s="11">
        <v>1016.63</v>
      </c>
      <c r="T9" s="3" t="b">
        <v>1</v>
      </c>
      <c r="U9" s="3" t="b">
        <v>0</v>
      </c>
      <c r="V9" s="3" t="b">
        <v>1</v>
      </c>
    </row>
    <row r="10" spans="1:22" ht="75" x14ac:dyDescent="0.25">
      <c r="A10" s="3" t="s">
        <v>666</v>
      </c>
      <c r="B10" s="3">
        <v>3</v>
      </c>
      <c r="C10" s="4" t="s">
        <v>23</v>
      </c>
      <c r="D10" s="4" t="s">
        <v>24</v>
      </c>
      <c r="E10" s="3" t="s">
        <v>56</v>
      </c>
      <c r="F10" s="4" t="s">
        <v>57</v>
      </c>
      <c r="G10" s="5"/>
      <c r="H10" s="4" t="s">
        <v>27</v>
      </c>
      <c r="I10" s="6" t="s">
        <v>28</v>
      </c>
      <c r="J10" s="7">
        <v>0</v>
      </c>
      <c r="K10" s="8"/>
      <c r="L10" s="9"/>
      <c r="M10" s="9" t="s">
        <v>696</v>
      </c>
      <c r="N10" s="9" t="s">
        <v>307</v>
      </c>
      <c r="O10" s="9" t="s">
        <v>697</v>
      </c>
      <c r="P10" s="9" t="s">
        <v>698</v>
      </c>
      <c r="Q10" s="10">
        <v>22526</v>
      </c>
      <c r="R10" s="10">
        <v>2623</v>
      </c>
      <c r="S10" s="11">
        <v>1016.63</v>
      </c>
      <c r="T10" s="3" t="b">
        <v>1</v>
      </c>
      <c r="U10" s="3" t="b">
        <v>0</v>
      </c>
      <c r="V10" s="3" t="b">
        <v>1</v>
      </c>
    </row>
    <row r="11" spans="1:22" ht="75" x14ac:dyDescent="0.25">
      <c r="A11" s="3" t="s">
        <v>666</v>
      </c>
      <c r="B11" s="3">
        <v>3</v>
      </c>
      <c r="C11" s="4" t="s">
        <v>23</v>
      </c>
      <c r="D11" s="4" t="s">
        <v>61</v>
      </c>
      <c r="E11" s="3" t="s">
        <v>62</v>
      </c>
      <c r="F11" s="4" t="s">
        <v>63</v>
      </c>
      <c r="G11" s="5"/>
      <c r="H11" s="4" t="s">
        <v>27</v>
      </c>
      <c r="I11" s="6"/>
      <c r="J11" s="7"/>
      <c r="K11" s="8"/>
      <c r="L11" s="9" t="s">
        <v>878</v>
      </c>
      <c r="M11" s="9" t="s">
        <v>879</v>
      </c>
      <c r="N11" s="9" t="s">
        <v>880</v>
      </c>
      <c r="O11" s="9" t="s">
        <v>881</v>
      </c>
      <c r="P11" s="9" t="s">
        <v>66</v>
      </c>
      <c r="Q11" s="10">
        <v>24260</v>
      </c>
      <c r="R11" s="10">
        <v>2571</v>
      </c>
      <c r="S11" s="11">
        <v>1051</v>
      </c>
      <c r="T11" s="3" t="b">
        <v>1</v>
      </c>
      <c r="U11" s="3" t="b">
        <v>0</v>
      </c>
      <c r="V11" s="3" t="b">
        <v>1</v>
      </c>
    </row>
    <row r="12" spans="1:22" ht="75" x14ac:dyDescent="0.25">
      <c r="A12" s="3" t="s">
        <v>666</v>
      </c>
      <c r="B12" s="3">
        <v>3</v>
      </c>
      <c r="C12" s="4" t="s">
        <v>23</v>
      </c>
      <c r="D12" s="4" t="s">
        <v>61</v>
      </c>
      <c r="E12" s="3" t="s">
        <v>67</v>
      </c>
      <c r="F12" s="4" t="s">
        <v>68</v>
      </c>
      <c r="G12" s="5"/>
      <c r="H12" s="4" t="s">
        <v>27</v>
      </c>
      <c r="I12" s="6"/>
      <c r="J12" s="7"/>
      <c r="K12" s="8"/>
      <c r="L12" s="9" t="s">
        <v>882</v>
      </c>
      <c r="M12" s="9" t="s">
        <v>883</v>
      </c>
      <c r="N12" s="9" t="s">
        <v>880</v>
      </c>
      <c r="O12" s="9" t="s">
        <v>884</v>
      </c>
      <c r="P12" s="9" t="s">
        <v>885</v>
      </c>
      <c r="Q12" s="10">
        <v>24260</v>
      </c>
      <c r="R12" s="10">
        <v>2571</v>
      </c>
      <c r="S12" s="11">
        <v>1051</v>
      </c>
      <c r="T12" s="3" t="b">
        <v>1</v>
      </c>
      <c r="U12" s="3" t="b">
        <v>0</v>
      </c>
      <c r="V12" s="3" t="b">
        <v>1</v>
      </c>
    </row>
    <row r="13" spans="1:22" ht="75" x14ac:dyDescent="0.25">
      <c r="A13" s="3" t="s">
        <v>666</v>
      </c>
      <c r="B13" s="3">
        <v>3</v>
      </c>
      <c r="C13" s="4" t="s">
        <v>23</v>
      </c>
      <c r="D13" s="4" t="s">
        <v>61</v>
      </c>
      <c r="E13" s="3" t="s">
        <v>72</v>
      </c>
      <c r="F13" s="4" t="s">
        <v>705</v>
      </c>
      <c r="G13" s="5"/>
      <c r="H13" s="4" t="s">
        <v>27</v>
      </c>
      <c r="I13" s="6"/>
      <c r="J13" s="7"/>
      <c r="K13" s="8"/>
      <c r="L13" s="9" t="s">
        <v>886</v>
      </c>
      <c r="M13" s="9" t="s">
        <v>887</v>
      </c>
      <c r="N13" s="9" t="s">
        <v>888</v>
      </c>
      <c r="O13" s="9" t="s">
        <v>889</v>
      </c>
      <c r="P13" s="9" t="s">
        <v>890</v>
      </c>
      <c r="Q13" s="10">
        <v>24260</v>
      </c>
      <c r="R13" s="10">
        <v>2571</v>
      </c>
      <c r="S13" s="11">
        <v>1051</v>
      </c>
      <c r="T13" s="3" t="b">
        <v>1</v>
      </c>
      <c r="U13" s="3" t="b">
        <v>0</v>
      </c>
      <c r="V13" s="3" t="b">
        <v>1</v>
      </c>
    </row>
    <row r="14" spans="1:22" ht="75" x14ac:dyDescent="0.25">
      <c r="A14" s="3" t="s">
        <v>666</v>
      </c>
      <c r="B14" s="3">
        <v>3</v>
      </c>
      <c r="C14" s="4" t="s">
        <v>23</v>
      </c>
      <c r="D14" s="4" t="s">
        <v>61</v>
      </c>
      <c r="E14" s="3" t="s">
        <v>77</v>
      </c>
      <c r="F14" s="4" t="s">
        <v>78</v>
      </c>
      <c r="G14" s="5"/>
      <c r="H14" s="4" t="s">
        <v>27</v>
      </c>
      <c r="I14" s="6"/>
      <c r="J14" s="7"/>
      <c r="K14" s="8"/>
      <c r="L14" s="9" t="s">
        <v>891</v>
      </c>
      <c r="M14" s="9" t="s">
        <v>892</v>
      </c>
      <c r="N14" s="9" t="s">
        <v>888</v>
      </c>
      <c r="O14" s="9" t="s">
        <v>893</v>
      </c>
      <c r="P14" s="9" t="s">
        <v>894</v>
      </c>
      <c r="Q14" s="10">
        <v>24260</v>
      </c>
      <c r="R14" s="10">
        <v>2571</v>
      </c>
      <c r="S14" s="11">
        <v>1051</v>
      </c>
      <c r="T14" s="3" t="b">
        <v>1</v>
      </c>
      <c r="U14" s="3" t="b">
        <v>0</v>
      </c>
      <c r="V14" s="3" t="b">
        <v>1</v>
      </c>
    </row>
    <row r="15" spans="1:22" ht="75" x14ac:dyDescent="0.25">
      <c r="A15" s="3" t="s">
        <v>666</v>
      </c>
      <c r="B15" s="3">
        <v>3</v>
      </c>
      <c r="C15" s="4" t="s">
        <v>23</v>
      </c>
      <c r="D15" s="4" t="s">
        <v>61</v>
      </c>
      <c r="E15" s="3" t="s">
        <v>82</v>
      </c>
      <c r="F15" s="4" t="s">
        <v>83</v>
      </c>
      <c r="G15" s="5"/>
      <c r="H15" s="4" t="s">
        <v>27</v>
      </c>
      <c r="I15" s="6"/>
      <c r="J15" s="7"/>
      <c r="K15" s="8"/>
      <c r="L15" s="9" t="s">
        <v>895</v>
      </c>
      <c r="M15" s="9" t="s">
        <v>896</v>
      </c>
      <c r="N15" s="9" t="s">
        <v>888</v>
      </c>
      <c r="O15" s="9" t="s">
        <v>881</v>
      </c>
      <c r="P15" s="9" t="s">
        <v>897</v>
      </c>
      <c r="Q15" s="10">
        <v>24260</v>
      </c>
      <c r="R15" s="10">
        <v>2571</v>
      </c>
      <c r="S15" s="11">
        <v>1051</v>
      </c>
      <c r="T15" s="3" t="b">
        <v>1</v>
      </c>
      <c r="U15" s="3" t="b">
        <v>0</v>
      </c>
      <c r="V15" s="3" t="b">
        <v>1</v>
      </c>
    </row>
    <row r="16" spans="1:22" ht="75" x14ac:dyDescent="0.25">
      <c r="A16" s="3" t="s">
        <v>666</v>
      </c>
      <c r="B16" s="3">
        <v>3</v>
      </c>
      <c r="C16" s="4" t="s">
        <v>23</v>
      </c>
      <c r="D16" s="4" t="s">
        <v>61</v>
      </c>
      <c r="E16" s="3" t="s">
        <v>87</v>
      </c>
      <c r="F16" s="4" t="s">
        <v>88</v>
      </c>
      <c r="G16" s="5"/>
      <c r="H16" s="4" t="s">
        <v>27</v>
      </c>
      <c r="I16" s="6"/>
      <c r="J16" s="7"/>
      <c r="K16" s="8"/>
      <c r="L16" s="9" t="s">
        <v>898</v>
      </c>
      <c r="M16" s="9" t="s">
        <v>899</v>
      </c>
      <c r="N16" s="9" t="s">
        <v>888</v>
      </c>
      <c r="O16" s="9" t="s">
        <v>900</v>
      </c>
      <c r="P16" s="9" t="s">
        <v>901</v>
      </c>
      <c r="Q16" s="10">
        <v>24260</v>
      </c>
      <c r="R16" s="10">
        <v>2571</v>
      </c>
      <c r="S16" s="11">
        <v>1051</v>
      </c>
      <c r="T16" s="3" t="b">
        <v>1</v>
      </c>
      <c r="U16" s="3" t="b">
        <v>0</v>
      </c>
      <c r="V16" s="3" t="b">
        <v>1</v>
      </c>
    </row>
    <row r="17" spans="1:22" ht="75" x14ac:dyDescent="0.25">
      <c r="A17" s="3" t="s">
        <v>666</v>
      </c>
      <c r="B17" s="3">
        <v>3</v>
      </c>
      <c r="C17" s="4" t="s">
        <v>23</v>
      </c>
      <c r="D17" s="4" t="s">
        <v>61</v>
      </c>
      <c r="E17" s="3" t="s">
        <v>92</v>
      </c>
      <c r="F17" s="4" t="s">
        <v>718</v>
      </c>
      <c r="G17" s="5"/>
      <c r="H17" s="4" t="s">
        <v>27</v>
      </c>
      <c r="I17" s="6"/>
      <c r="J17" s="7"/>
      <c r="K17" s="8"/>
      <c r="L17" s="9" t="s">
        <v>902</v>
      </c>
      <c r="M17" s="9" t="s">
        <v>903</v>
      </c>
      <c r="N17" s="9" t="s">
        <v>880</v>
      </c>
      <c r="O17" s="9" t="s">
        <v>904</v>
      </c>
      <c r="P17" s="9" t="s">
        <v>905</v>
      </c>
      <c r="Q17" s="10">
        <v>24260</v>
      </c>
      <c r="R17" s="10">
        <v>2571</v>
      </c>
      <c r="S17" s="11">
        <v>1051</v>
      </c>
      <c r="T17" s="3" t="b">
        <v>1</v>
      </c>
      <c r="U17" s="3" t="b">
        <v>0</v>
      </c>
      <c r="V17" s="3" t="b">
        <v>1</v>
      </c>
    </row>
    <row r="18" spans="1:22" ht="75" x14ac:dyDescent="0.25">
      <c r="A18" s="3" t="s">
        <v>666</v>
      </c>
      <c r="B18" s="3">
        <v>3</v>
      </c>
      <c r="C18" s="4" t="s">
        <v>23</v>
      </c>
      <c r="D18" s="4" t="s">
        <v>61</v>
      </c>
      <c r="E18" s="3" t="s">
        <v>723</v>
      </c>
      <c r="F18" s="4" t="s">
        <v>724</v>
      </c>
      <c r="G18" s="5"/>
      <c r="H18" s="4" t="s">
        <v>27</v>
      </c>
      <c r="I18" s="6"/>
      <c r="J18" s="7"/>
      <c r="K18" s="8"/>
      <c r="L18" s="9" t="s">
        <v>906</v>
      </c>
      <c r="M18" s="9" t="s">
        <v>907</v>
      </c>
      <c r="N18" s="9" t="s">
        <v>888</v>
      </c>
      <c r="O18" s="9" t="s">
        <v>908</v>
      </c>
      <c r="P18" s="9" t="s">
        <v>909</v>
      </c>
      <c r="Q18" s="10">
        <v>24260</v>
      </c>
      <c r="R18" s="10">
        <v>2571</v>
      </c>
      <c r="S18" s="11">
        <v>1051</v>
      </c>
      <c r="T18" s="3" t="b">
        <v>1</v>
      </c>
      <c r="U18" s="3" t="b">
        <v>0</v>
      </c>
      <c r="V18" s="3" t="b">
        <v>1</v>
      </c>
    </row>
    <row r="19" spans="1:22" ht="75" x14ac:dyDescent="0.25">
      <c r="A19" s="3" t="s">
        <v>666</v>
      </c>
      <c r="B19" s="3">
        <v>3</v>
      </c>
      <c r="C19" s="4" t="s">
        <v>23</v>
      </c>
      <c r="D19" s="4" t="s">
        <v>61</v>
      </c>
      <c r="E19" s="3" t="s">
        <v>97</v>
      </c>
      <c r="F19" s="4" t="s">
        <v>728</v>
      </c>
      <c r="G19" s="5"/>
      <c r="H19" s="4" t="s">
        <v>27</v>
      </c>
      <c r="I19" s="6"/>
      <c r="J19" s="7"/>
      <c r="K19" s="8"/>
      <c r="L19" s="9" t="s">
        <v>910</v>
      </c>
      <c r="M19" s="9" t="s">
        <v>911</v>
      </c>
      <c r="N19" s="9" t="s">
        <v>888</v>
      </c>
      <c r="O19" s="9" t="s">
        <v>912</v>
      </c>
      <c r="P19" s="9" t="s">
        <v>913</v>
      </c>
      <c r="Q19" s="10">
        <v>24260</v>
      </c>
      <c r="R19" s="10">
        <v>2571</v>
      </c>
      <c r="S19" s="11">
        <v>1051</v>
      </c>
      <c r="T19" s="3" t="b">
        <v>1</v>
      </c>
      <c r="U19" s="3" t="b">
        <v>0</v>
      </c>
      <c r="V19" s="3" t="b">
        <v>1</v>
      </c>
    </row>
    <row r="20" spans="1:22" ht="75" x14ac:dyDescent="0.25">
      <c r="A20" s="3" t="s">
        <v>666</v>
      </c>
      <c r="B20" s="3">
        <v>3</v>
      </c>
      <c r="C20" s="4" t="s">
        <v>23</v>
      </c>
      <c r="D20" s="4" t="s">
        <v>61</v>
      </c>
      <c r="E20" s="3" t="s">
        <v>102</v>
      </c>
      <c r="F20" s="4" t="s">
        <v>732</v>
      </c>
      <c r="G20" s="5"/>
      <c r="H20" s="4" t="s">
        <v>27</v>
      </c>
      <c r="I20" s="6"/>
      <c r="J20" s="7"/>
      <c r="K20" s="8"/>
      <c r="L20" s="9" t="s">
        <v>914</v>
      </c>
      <c r="M20" s="9" t="s">
        <v>915</v>
      </c>
      <c r="N20" s="9" t="s">
        <v>880</v>
      </c>
      <c r="O20" s="9" t="s">
        <v>916</v>
      </c>
      <c r="P20" s="9" t="s">
        <v>917</v>
      </c>
      <c r="Q20" s="10">
        <v>24260</v>
      </c>
      <c r="R20" s="10">
        <v>2571</v>
      </c>
      <c r="S20" s="11">
        <v>1051</v>
      </c>
      <c r="T20" s="3" t="b">
        <v>1</v>
      </c>
      <c r="U20" s="3" t="b">
        <v>0</v>
      </c>
      <c r="V20" s="3" t="b">
        <v>1</v>
      </c>
    </row>
    <row r="21" spans="1:22" ht="75" x14ac:dyDescent="0.25">
      <c r="A21" s="3" t="s">
        <v>666</v>
      </c>
      <c r="B21" s="3">
        <v>3</v>
      </c>
      <c r="C21" s="4" t="s">
        <v>23</v>
      </c>
      <c r="D21" s="4" t="s">
        <v>61</v>
      </c>
      <c r="E21" s="3" t="s">
        <v>107</v>
      </c>
      <c r="F21" s="4" t="s">
        <v>93</v>
      </c>
      <c r="G21" s="5"/>
      <c r="H21" s="4" t="s">
        <v>27</v>
      </c>
      <c r="I21" s="6"/>
      <c r="J21" s="7"/>
      <c r="K21" s="8"/>
      <c r="L21" s="9" t="s">
        <v>918</v>
      </c>
      <c r="M21" s="9" t="s">
        <v>919</v>
      </c>
      <c r="N21" s="9" t="s">
        <v>880</v>
      </c>
      <c r="O21" s="9" t="s">
        <v>920</v>
      </c>
      <c r="P21" s="9" t="s">
        <v>921</v>
      </c>
      <c r="Q21" s="10">
        <v>24260</v>
      </c>
      <c r="R21" s="10">
        <v>2571</v>
      </c>
      <c r="S21" s="11">
        <v>1051</v>
      </c>
      <c r="T21" s="3" t="b">
        <v>1</v>
      </c>
      <c r="U21" s="3" t="b">
        <v>0</v>
      </c>
      <c r="V21" s="3" t="b">
        <v>1</v>
      </c>
    </row>
    <row r="22" spans="1:22" ht="75" x14ac:dyDescent="0.25">
      <c r="A22" s="3" t="s">
        <v>666</v>
      </c>
      <c r="B22" s="3">
        <v>3</v>
      </c>
      <c r="C22" s="4" t="s">
        <v>23</v>
      </c>
      <c r="D22" s="4" t="s">
        <v>112</v>
      </c>
      <c r="E22" s="3"/>
      <c r="F22" s="4"/>
      <c r="G22" s="5"/>
      <c r="H22" s="4"/>
      <c r="I22" s="6"/>
      <c r="J22" s="7"/>
      <c r="K22" s="8"/>
      <c r="L22" s="9"/>
      <c r="M22" s="9"/>
      <c r="N22" s="9"/>
      <c r="O22" s="9"/>
      <c r="P22" s="9"/>
      <c r="Q22" s="10">
        <v>28099</v>
      </c>
      <c r="R22" s="10">
        <v>3901</v>
      </c>
      <c r="S22" s="11">
        <v>1609.36</v>
      </c>
      <c r="T22" s="3" t="b">
        <v>0</v>
      </c>
      <c r="U22" s="3" t="b">
        <v>1</v>
      </c>
      <c r="V22" s="3" t="b">
        <v>1</v>
      </c>
    </row>
    <row r="23" spans="1:22" ht="75" x14ac:dyDescent="0.25">
      <c r="A23" s="3" t="s">
        <v>666</v>
      </c>
      <c r="B23" s="3">
        <v>3</v>
      </c>
      <c r="C23" s="4" t="s">
        <v>23</v>
      </c>
      <c r="D23" s="4" t="s">
        <v>150</v>
      </c>
      <c r="E23" s="3"/>
      <c r="F23" s="4"/>
      <c r="G23" s="5"/>
      <c r="H23" s="4"/>
      <c r="I23" s="6"/>
      <c r="J23" s="7"/>
      <c r="K23" s="8"/>
      <c r="L23" s="9"/>
      <c r="M23" s="9"/>
      <c r="N23" s="9"/>
      <c r="O23" s="9"/>
      <c r="P23" s="9"/>
      <c r="Q23" s="10">
        <v>27044</v>
      </c>
      <c r="R23" s="10">
        <v>4956</v>
      </c>
      <c r="S23" s="11">
        <v>1839.89</v>
      </c>
      <c r="T23" s="3" t="b">
        <v>0</v>
      </c>
      <c r="U23" s="3" t="b">
        <v>1</v>
      </c>
      <c r="V23" s="3" t="b">
        <v>1</v>
      </c>
    </row>
    <row r="24" spans="1:22" ht="75" x14ac:dyDescent="0.25">
      <c r="A24" s="3" t="s">
        <v>666</v>
      </c>
      <c r="B24" s="3">
        <v>3</v>
      </c>
      <c r="C24" s="4" t="s">
        <v>23</v>
      </c>
      <c r="D24" s="4" t="s">
        <v>221</v>
      </c>
      <c r="E24" s="3" t="s">
        <v>222</v>
      </c>
      <c r="F24" s="4" t="s">
        <v>739</v>
      </c>
      <c r="G24" s="5"/>
      <c r="H24" s="4" t="s">
        <v>27</v>
      </c>
      <c r="I24" s="6"/>
      <c r="J24" s="7"/>
      <c r="K24" s="8"/>
      <c r="L24" s="9" t="s">
        <v>838</v>
      </c>
      <c r="M24" s="9" t="s">
        <v>839</v>
      </c>
      <c r="N24" s="9"/>
      <c r="O24" s="9" t="s">
        <v>922</v>
      </c>
      <c r="P24" s="9" t="s">
        <v>923</v>
      </c>
      <c r="Q24" s="10">
        <v>26530</v>
      </c>
      <c r="R24" s="10">
        <v>2412</v>
      </c>
      <c r="S24" s="11">
        <v>857.55</v>
      </c>
      <c r="T24" s="3" t="b">
        <v>1</v>
      </c>
      <c r="U24" s="3" t="b">
        <v>0</v>
      </c>
      <c r="V24" s="3" t="b">
        <v>1</v>
      </c>
    </row>
    <row r="25" spans="1:22" ht="75" x14ac:dyDescent="0.25">
      <c r="A25" s="3" t="s">
        <v>666</v>
      </c>
      <c r="B25" s="3">
        <v>3</v>
      </c>
      <c r="C25" s="4" t="s">
        <v>23</v>
      </c>
      <c r="D25" s="4" t="s">
        <v>221</v>
      </c>
      <c r="E25" s="3" t="s">
        <v>227</v>
      </c>
      <c r="F25" s="4" t="s">
        <v>228</v>
      </c>
      <c r="G25" s="5"/>
      <c r="H25" s="4" t="s">
        <v>27</v>
      </c>
      <c r="I25" s="6"/>
      <c r="J25" s="7"/>
      <c r="K25" s="8"/>
      <c r="L25" s="9" t="s">
        <v>838</v>
      </c>
      <c r="M25" s="9" t="s">
        <v>842</v>
      </c>
      <c r="N25" s="9"/>
      <c r="O25" s="9" t="s">
        <v>924</v>
      </c>
      <c r="P25" s="9" t="s">
        <v>925</v>
      </c>
      <c r="Q25" s="10">
        <v>26530</v>
      </c>
      <c r="R25" s="10">
        <v>2412</v>
      </c>
      <c r="S25" s="11">
        <v>857.55</v>
      </c>
      <c r="T25" s="3" t="b">
        <v>1</v>
      </c>
      <c r="U25" s="3" t="b">
        <v>0</v>
      </c>
      <c r="V25" s="3" t="b">
        <v>1</v>
      </c>
    </row>
    <row r="26" spans="1:22" ht="75" x14ac:dyDescent="0.25">
      <c r="A26" s="3" t="s">
        <v>666</v>
      </c>
      <c r="B26" s="3">
        <v>3</v>
      </c>
      <c r="C26" s="4" t="s">
        <v>23</v>
      </c>
      <c r="D26" s="4" t="s">
        <v>221</v>
      </c>
      <c r="E26" s="3" t="s">
        <v>232</v>
      </c>
      <c r="F26" s="4" t="s">
        <v>233</v>
      </c>
      <c r="G26" s="5"/>
      <c r="H26" s="4" t="s">
        <v>27</v>
      </c>
      <c r="I26" s="6"/>
      <c r="J26" s="7"/>
      <c r="K26" s="8"/>
      <c r="L26" s="9" t="s">
        <v>747</v>
      </c>
      <c r="M26" s="9" t="s">
        <v>845</v>
      </c>
      <c r="N26" s="9"/>
      <c r="O26" s="9" t="s">
        <v>926</v>
      </c>
      <c r="P26" s="9" t="s">
        <v>927</v>
      </c>
      <c r="Q26" s="10">
        <v>26530</v>
      </c>
      <c r="R26" s="10">
        <v>2412</v>
      </c>
      <c r="S26" s="11">
        <v>857.55</v>
      </c>
      <c r="T26" s="3" t="b">
        <v>1</v>
      </c>
      <c r="U26" s="3" t="b">
        <v>0</v>
      </c>
      <c r="V26" s="3" t="b">
        <v>1</v>
      </c>
    </row>
    <row r="27" spans="1:22" ht="75" x14ac:dyDescent="0.25">
      <c r="A27" s="3" t="s">
        <v>666</v>
      </c>
      <c r="B27" s="3">
        <v>3</v>
      </c>
      <c r="C27" s="4" t="s">
        <v>23</v>
      </c>
      <c r="D27" s="4" t="s">
        <v>221</v>
      </c>
      <c r="E27" s="3" t="s">
        <v>237</v>
      </c>
      <c r="F27" s="4" t="s">
        <v>238</v>
      </c>
      <c r="G27" s="5"/>
      <c r="H27" s="4" t="s">
        <v>27</v>
      </c>
      <c r="I27" s="6"/>
      <c r="J27" s="7"/>
      <c r="K27" s="8"/>
      <c r="L27" s="9" t="s">
        <v>751</v>
      </c>
      <c r="M27" s="9" t="s">
        <v>848</v>
      </c>
      <c r="N27" s="9"/>
      <c r="O27" s="9" t="s">
        <v>928</v>
      </c>
      <c r="P27" s="9" t="s">
        <v>929</v>
      </c>
      <c r="Q27" s="10">
        <v>26530</v>
      </c>
      <c r="R27" s="10">
        <v>2412</v>
      </c>
      <c r="S27" s="11">
        <v>857.55</v>
      </c>
      <c r="T27" s="3" t="b">
        <v>1</v>
      </c>
      <c r="U27" s="3" t="b">
        <v>0</v>
      </c>
      <c r="V27" s="3" t="b">
        <v>1</v>
      </c>
    </row>
    <row r="28" spans="1:22" ht="75" x14ac:dyDescent="0.25">
      <c r="A28" s="3" t="s">
        <v>666</v>
      </c>
      <c r="B28" s="3">
        <v>3</v>
      </c>
      <c r="C28" s="4" t="s">
        <v>23</v>
      </c>
      <c r="D28" s="4" t="s">
        <v>221</v>
      </c>
      <c r="E28" s="3" t="s">
        <v>242</v>
      </c>
      <c r="F28" s="4" t="s">
        <v>243</v>
      </c>
      <c r="G28" s="5"/>
      <c r="H28" s="4" t="s">
        <v>27</v>
      </c>
      <c r="I28" s="6"/>
      <c r="J28" s="7"/>
      <c r="K28" s="8"/>
      <c r="L28" s="9" t="s">
        <v>930</v>
      </c>
      <c r="M28" s="9" t="s">
        <v>851</v>
      </c>
      <c r="N28" s="9"/>
      <c r="O28" s="9" t="s">
        <v>931</v>
      </c>
      <c r="P28" s="9" t="s">
        <v>932</v>
      </c>
      <c r="Q28" s="10">
        <v>26530</v>
      </c>
      <c r="R28" s="10">
        <v>2412</v>
      </c>
      <c r="S28" s="11">
        <v>857.55</v>
      </c>
      <c r="T28" s="3" t="b">
        <v>1</v>
      </c>
      <c r="U28" s="3" t="b">
        <v>0</v>
      </c>
      <c r="V28" s="3" t="b">
        <v>1</v>
      </c>
    </row>
    <row r="29" spans="1:22" ht="75" x14ac:dyDescent="0.25">
      <c r="A29" s="3" t="s">
        <v>666</v>
      </c>
      <c r="B29" s="3">
        <v>3</v>
      </c>
      <c r="C29" s="4" t="s">
        <v>23</v>
      </c>
      <c r="D29" s="4" t="s">
        <v>221</v>
      </c>
      <c r="E29" s="3" t="s">
        <v>247</v>
      </c>
      <c r="F29" s="4" t="s">
        <v>248</v>
      </c>
      <c r="G29" s="5"/>
      <c r="H29" s="4" t="s">
        <v>27</v>
      </c>
      <c r="I29" s="6"/>
      <c r="J29" s="7"/>
      <c r="K29" s="8"/>
      <c r="L29" s="9" t="s">
        <v>759</v>
      </c>
      <c r="M29" s="9" t="s">
        <v>854</v>
      </c>
      <c r="N29" s="9"/>
      <c r="O29" s="9" t="s">
        <v>933</v>
      </c>
      <c r="P29" s="9" t="s">
        <v>934</v>
      </c>
      <c r="Q29" s="10">
        <v>26530</v>
      </c>
      <c r="R29" s="10">
        <v>2412</v>
      </c>
      <c r="S29" s="11">
        <v>857.55</v>
      </c>
      <c r="T29" s="3" t="b">
        <v>1</v>
      </c>
      <c r="U29" s="3" t="b">
        <v>0</v>
      </c>
      <c r="V29" s="3" t="b">
        <v>1</v>
      </c>
    </row>
    <row r="30" spans="1:22" ht="75" x14ac:dyDescent="0.25">
      <c r="A30" s="3" t="s">
        <v>666</v>
      </c>
      <c r="B30" s="3">
        <v>3</v>
      </c>
      <c r="C30" s="4" t="s">
        <v>23</v>
      </c>
      <c r="D30" s="4" t="s">
        <v>221</v>
      </c>
      <c r="E30" s="3" t="s">
        <v>252</v>
      </c>
      <c r="F30" s="4" t="s">
        <v>253</v>
      </c>
      <c r="G30" s="5"/>
      <c r="H30" s="4" t="s">
        <v>27</v>
      </c>
      <c r="I30" s="6"/>
      <c r="J30" s="7"/>
      <c r="K30" s="8"/>
      <c r="L30" s="9" t="s">
        <v>763</v>
      </c>
      <c r="M30" s="9" t="s">
        <v>857</v>
      </c>
      <c r="N30" s="9"/>
      <c r="O30" s="9" t="s">
        <v>935</v>
      </c>
      <c r="P30" s="9" t="s">
        <v>936</v>
      </c>
      <c r="Q30" s="10">
        <v>26530</v>
      </c>
      <c r="R30" s="10">
        <v>2412</v>
      </c>
      <c r="S30" s="11">
        <v>857.55</v>
      </c>
      <c r="T30" s="3" t="b">
        <v>1</v>
      </c>
      <c r="U30" s="3" t="b">
        <v>0</v>
      </c>
      <c r="V30" s="3" t="b">
        <v>1</v>
      </c>
    </row>
    <row r="31" spans="1:22" ht="75" x14ac:dyDescent="0.25">
      <c r="A31" s="3" t="s">
        <v>666</v>
      </c>
      <c r="B31" s="3">
        <v>3</v>
      </c>
      <c r="C31" s="4" t="s">
        <v>23</v>
      </c>
      <c r="D31" s="4" t="s">
        <v>221</v>
      </c>
      <c r="E31" s="3" t="s">
        <v>257</v>
      </c>
      <c r="F31" s="4" t="s">
        <v>258</v>
      </c>
      <c r="G31" s="5"/>
      <c r="H31" s="4" t="s">
        <v>27</v>
      </c>
      <c r="I31" s="6"/>
      <c r="J31" s="7"/>
      <c r="K31" s="8"/>
      <c r="L31" s="9" t="s">
        <v>759</v>
      </c>
      <c r="M31" s="9" t="s">
        <v>937</v>
      </c>
      <c r="N31" s="9"/>
      <c r="O31" s="9" t="s">
        <v>938</v>
      </c>
      <c r="P31" s="9" t="s">
        <v>939</v>
      </c>
      <c r="Q31" s="10">
        <v>26530</v>
      </c>
      <c r="R31" s="10">
        <v>2412</v>
      </c>
      <c r="S31" s="11">
        <v>857.55</v>
      </c>
      <c r="T31" s="3" t="b">
        <v>1</v>
      </c>
      <c r="U31" s="3" t="b">
        <v>0</v>
      </c>
      <c r="V31" s="3" t="b">
        <v>1</v>
      </c>
    </row>
    <row r="32" spans="1:22" ht="75" x14ac:dyDescent="0.25">
      <c r="A32" s="3" t="s">
        <v>666</v>
      </c>
      <c r="B32" s="3">
        <v>3</v>
      </c>
      <c r="C32" s="4" t="s">
        <v>23</v>
      </c>
      <c r="D32" s="4" t="s">
        <v>221</v>
      </c>
      <c r="E32" s="3" t="s">
        <v>262</v>
      </c>
      <c r="F32" s="4" t="s">
        <v>263</v>
      </c>
      <c r="G32" s="5"/>
      <c r="H32" s="4" t="s">
        <v>27</v>
      </c>
      <c r="I32" s="6"/>
      <c r="J32" s="7"/>
      <c r="K32" s="8"/>
      <c r="L32" s="9" t="s">
        <v>759</v>
      </c>
      <c r="M32" s="9" t="s">
        <v>940</v>
      </c>
      <c r="N32" s="9"/>
      <c r="O32" s="9" t="s">
        <v>941</v>
      </c>
      <c r="P32" s="9" t="s">
        <v>942</v>
      </c>
      <c r="Q32" s="10">
        <v>26530</v>
      </c>
      <c r="R32" s="10">
        <v>2412</v>
      </c>
      <c r="S32" s="11">
        <v>857.55</v>
      </c>
      <c r="T32" s="3" t="b">
        <v>1</v>
      </c>
      <c r="U32" s="3" t="b">
        <v>0</v>
      </c>
      <c r="V32" s="3" t="b">
        <v>1</v>
      </c>
    </row>
    <row r="33" spans="1:22" ht="75" x14ac:dyDescent="0.25">
      <c r="A33" s="3" t="s">
        <v>666</v>
      </c>
      <c r="B33" s="3">
        <v>3</v>
      </c>
      <c r="C33" s="4" t="s">
        <v>23</v>
      </c>
      <c r="D33" s="4" t="s">
        <v>221</v>
      </c>
      <c r="E33" s="3" t="s">
        <v>267</v>
      </c>
      <c r="F33" s="4" t="s">
        <v>268</v>
      </c>
      <c r="G33" s="5"/>
      <c r="H33" s="4" t="s">
        <v>27</v>
      </c>
      <c r="I33" s="6"/>
      <c r="J33" s="7"/>
      <c r="K33" s="8"/>
      <c r="L33" s="9" t="s">
        <v>777</v>
      </c>
      <c r="M33" s="9" t="s">
        <v>943</v>
      </c>
      <c r="N33" s="9"/>
      <c r="O33" s="9" t="s">
        <v>944</v>
      </c>
      <c r="P33" s="9" t="s">
        <v>945</v>
      </c>
      <c r="Q33" s="10">
        <v>26530</v>
      </c>
      <c r="R33" s="10">
        <v>2412</v>
      </c>
      <c r="S33" s="11">
        <v>857.55</v>
      </c>
      <c r="T33" s="3" t="b">
        <v>1</v>
      </c>
      <c r="U33" s="3" t="b">
        <v>0</v>
      </c>
      <c r="V33" s="3" t="b">
        <v>1</v>
      </c>
    </row>
    <row r="34" spans="1:22" ht="75" x14ac:dyDescent="0.25">
      <c r="A34" s="3" t="s">
        <v>666</v>
      </c>
      <c r="B34" s="3">
        <v>3</v>
      </c>
      <c r="C34" s="4" t="s">
        <v>23</v>
      </c>
      <c r="D34" s="4" t="s">
        <v>221</v>
      </c>
      <c r="E34" s="3" t="s">
        <v>272</v>
      </c>
      <c r="F34" s="4" t="s">
        <v>273</v>
      </c>
      <c r="G34" s="5"/>
      <c r="H34" s="4" t="s">
        <v>27</v>
      </c>
      <c r="I34" s="6"/>
      <c r="J34" s="7"/>
      <c r="K34" s="8"/>
      <c r="L34" s="9" t="s">
        <v>777</v>
      </c>
      <c r="M34" s="9" t="s">
        <v>946</v>
      </c>
      <c r="N34" s="9"/>
      <c r="O34" s="9" t="s">
        <v>947</v>
      </c>
      <c r="P34" s="9" t="s">
        <v>948</v>
      </c>
      <c r="Q34" s="10">
        <v>26530</v>
      </c>
      <c r="R34" s="10">
        <v>2412</v>
      </c>
      <c r="S34" s="11">
        <v>857.55</v>
      </c>
      <c r="T34" s="3" t="b">
        <v>1</v>
      </c>
      <c r="U34" s="3" t="b">
        <v>0</v>
      </c>
      <c r="V34" s="3" t="b">
        <v>1</v>
      </c>
    </row>
    <row r="35" spans="1:22" ht="75" x14ac:dyDescent="0.25">
      <c r="A35" s="3" t="s">
        <v>666</v>
      </c>
      <c r="B35" s="3">
        <v>3</v>
      </c>
      <c r="C35" s="4" t="s">
        <v>23</v>
      </c>
      <c r="D35" s="4" t="s">
        <v>221</v>
      </c>
      <c r="E35" s="3" t="s">
        <v>277</v>
      </c>
      <c r="F35" s="4" t="s">
        <v>278</v>
      </c>
      <c r="G35" s="5"/>
      <c r="H35" s="4" t="s">
        <v>27</v>
      </c>
      <c r="I35" s="6"/>
      <c r="J35" s="7"/>
      <c r="K35" s="8"/>
      <c r="L35" s="9" t="s">
        <v>781</v>
      </c>
      <c r="M35" s="9" t="s">
        <v>949</v>
      </c>
      <c r="N35" s="9"/>
      <c r="O35" s="9" t="s">
        <v>950</v>
      </c>
      <c r="P35" s="9" t="s">
        <v>951</v>
      </c>
      <c r="Q35" s="10">
        <v>26530</v>
      </c>
      <c r="R35" s="10">
        <v>2412</v>
      </c>
      <c r="S35" s="11">
        <v>857.55</v>
      </c>
      <c r="T35" s="3" t="b">
        <v>1</v>
      </c>
      <c r="U35" s="3" t="b">
        <v>0</v>
      </c>
      <c r="V35" s="3" t="b">
        <v>1</v>
      </c>
    </row>
    <row r="36" spans="1:22" ht="75" x14ac:dyDescent="0.25">
      <c r="A36" s="3" t="s">
        <v>666</v>
      </c>
      <c r="B36" s="3">
        <v>3</v>
      </c>
      <c r="C36" s="4" t="s">
        <v>23</v>
      </c>
      <c r="D36" s="4" t="s">
        <v>221</v>
      </c>
      <c r="E36" s="3" t="s">
        <v>282</v>
      </c>
      <c r="F36" s="4" t="s">
        <v>283</v>
      </c>
      <c r="G36" s="5"/>
      <c r="H36" s="4" t="s">
        <v>27</v>
      </c>
      <c r="I36" s="6"/>
      <c r="J36" s="7"/>
      <c r="K36" s="8"/>
      <c r="L36" s="9" t="s">
        <v>777</v>
      </c>
      <c r="M36" s="9" t="s">
        <v>952</v>
      </c>
      <c r="N36" s="9"/>
      <c r="O36" s="9" t="s">
        <v>953</v>
      </c>
      <c r="P36" s="9" t="s">
        <v>954</v>
      </c>
      <c r="Q36" s="10">
        <v>26530</v>
      </c>
      <c r="R36" s="10">
        <v>2412</v>
      </c>
      <c r="S36" s="11">
        <v>857.55</v>
      </c>
      <c r="T36" s="3" t="b">
        <v>1</v>
      </c>
      <c r="U36" s="3" t="b">
        <v>0</v>
      </c>
      <c r="V36" s="3" t="b">
        <v>1</v>
      </c>
    </row>
  </sheetData>
  <autoFilter ref="A1:V36" xr:uid="{00000000-0009-0000-0000-000007000000}"/>
  <conditionalFormatting sqref="D2:D36">
    <cfRule type="containsText" dxfId="145" priority="20" operator="containsText" text="Climate And Resilience">
      <formula>NOT(ISERROR(SEARCH("Climate And Resilience",D2)))</formula>
    </cfRule>
    <cfRule type="containsText" dxfId="144" priority="21" operator="containsText" text="Leadership">
      <formula>NOT(ISERROR(SEARCH("Leadership",D2)))</formula>
    </cfRule>
    <cfRule type="containsText" dxfId="143" priority="22" operator="containsText" text="Natural World">
      <formula>NOT(ISERROR(SEARCH("Natural World",D2)))</formula>
    </cfRule>
    <cfRule type="containsText" dxfId="142" priority="23" operator="containsText" text="Quality Of Life">
      <formula>NOT(ISERROR(SEARCH("Quality Of Life",D2)))</formula>
    </cfRule>
    <cfRule type="containsText" dxfId="141" priority="24" operator="containsText" text="Resource Allocation">
      <formula>NOT(ISERROR(SEARCH("Resource Allocation",D2)))</formula>
    </cfRule>
  </conditionalFormatting>
  <conditionalFormatting sqref="G2:G36">
    <cfRule type="dataBar" priority="985">
      <dataBar>
        <cfvo type="min"/>
        <cfvo type="max"/>
        <color rgb="FF5B9BD5"/>
      </dataBar>
    </cfRule>
  </conditionalFormatting>
  <conditionalFormatting sqref="H2:H36">
    <cfRule type="containsText" dxfId="140" priority="10" operator="containsText" text="Not Applicable">
      <formula>NOT(ISERROR(SEARCH("Not Applicable",H2)))</formula>
    </cfRule>
    <cfRule type="containsText" dxfId="139" priority="11" operator="containsText" text="Applicable">
      <formula>NOT(ISERROR(SEARCH("Applicable",H2)))</formula>
    </cfRule>
  </conditionalFormatting>
  <conditionalFormatting sqref="I2:I36">
    <cfRule type="containsText" dxfId="138" priority="4" operator="containsText" text="No Level">
      <formula>NOT(ISERROR(SEARCH("No Level",I2)))</formula>
    </cfRule>
    <cfRule type="containsText" dxfId="137" priority="5" operator="containsText" text="Improved">
      <formula>NOT(ISERROR(SEARCH("Improved",I2)))</formula>
    </cfRule>
    <cfRule type="containsText" dxfId="136" priority="6" operator="containsText" text="Enhanced">
      <formula>NOT(ISERROR(SEARCH("Enhanced",I2)))</formula>
    </cfRule>
    <cfRule type="containsText" dxfId="135" priority="7" operator="containsText" text="Superior">
      <formula>NOT(ISERROR(SEARCH("Superior",I2)))</formula>
    </cfRule>
    <cfRule type="containsText" dxfId="134" priority="8" operator="containsText" text="Conserving">
      <formula>NOT(ISERROR(SEARCH("Conserving",I2)))</formula>
    </cfRule>
    <cfRule type="containsText" dxfId="133" priority="9" operator="containsText" text="Restorative">
      <formula>NOT(ISERROR(SEARCH("Restorative",I2)))</formula>
    </cfRule>
  </conditionalFormatting>
  <conditionalFormatting sqref="J2:J36">
    <cfRule type="dataBar" priority="986">
      <dataBar>
        <cfvo type="min"/>
        <cfvo type="max"/>
        <color rgb="FF70AD47"/>
      </dataBar>
    </cfRule>
  </conditionalFormatting>
  <conditionalFormatting sqref="K2:K36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36">
    <cfRule type="dataBar" priority="987">
      <dataBar>
        <cfvo type="min"/>
        <cfvo type="max"/>
        <color rgb="FFA5A5A5"/>
      </dataBar>
    </cfRule>
  </conditionalFormatting>
  <conditionalFormatting sqref="S2:S36">
    <cfRule type="dataBar" priority="988">
      <dataBar>
        <cfvo type="min"/>
        <cfvo type="max"/>
        <color rgb="FFED7D31"/>
      </dataBar>
    </cfRule>
  </conditionalFormatting>
  <conditionalFormatting sqref="T2:T36">
    <cfRule type="cellIs" dxfId="132" priority="14" operator="equal">
      <formula>TRUE</formula>
    </cfRule>
    <cfRule type="cellIs" dxfId="131" priority="15" operator="equal">
      <formula>FALSE</formula>
    </cfRule>
  </conditionalFormatting>
  <conditionalFormatting sqref="U2:U36">
    <cfRule type="cellIs" dxfId="130" priority="16" operator="equal">
      <formula>TRUE</formula>
    </cfRule>
    <cfRule type="cellIs" dxfId="129" priority="17" operator="equal">
      <formula>FALSE</formula>
    </cfRule>
  </conditionalFormatting>
  <conditionalFormatting sqref="V2:V36">
    <cfRule type="cellIs" dxfId="128" priority="18" operator="equal">
      <formula>TRUE</formula>
    </cfRule>
    <cfRule type="cellIs" dxfId="127" priority="19" operator="equal">
      <formula>FALSE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6"/>
  <sheetViews>
    <sheetView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ht="75" x14ac:dyDescent="0.25">
      <c r="A2" s="3" t="s">
        <v>666</v>
      </c>
      <c r="B2" s="3">
        <v>4</v>
      </c>
      <c r="C2" s="4" t="s">
        <v>23</v>
      </c>
      <c r="D2" s="4" t="s">
        <v>24</v>
      </c>
      <c r="E2" s="3" t="s">
        <v>667</v>
      </c>
      <c r="F2" s="4" t="s">
        <v>668</v>
      </c>
      <c r="G2" s="5"/>
      <c r="H2" s="4" t="s">
        <v>27</v>
      </c>
      <c r="I2" s="6" t="s">
        <v>28</v>
      </c>
      <c r="J2" s="7">
        <v>0</v>
      </c>
      <c r="K2" s="8"/>
      <c r="L2" s="9"/>
      <c r="M2" s="9" t="s">
        <v>669</v>
      </c>
      <c r="N2" s="9" t="s">
        <v>670</v>
      </c>
      <c r="O2" s="9" t="s">
        <v>671</v>
      </c>
      <c r="P2" s="9" t="s">
        <v>672</v>
      </c>
      <c r="Q2" s="10">
        <v>22526</v>
      </c>
      <c r="R2" s="10">
        <v>2564</v>
      </c>
      <c r="S2" s="11">
        <v>904.21</v>
      </c>
      <c r="T2" s="3" t="b">
        <v>1</v>
      </c>
      <c r="U2" s="3" t="b">
        <v>0</v>
      </c>
      <c r="V2" s="3" t="b">
        <v>1</v>
      </c>
    </row>
    <row r="3" spans="1:22" ht="75" x14ac:dyDescent="0.25">
      <c r="A3" s="3" t="s">
        <v>666</v>
      </c>
      <c r="B3" s="3">
        <v>4</v>
      </c>
      <c r="C3" s="4" t="s">
        <v>23</v>
      </c>
      <c r="D3" s="4" t="s">
        <v>24</v>
      </c>
      <c r="E3" s="3" t="s">
        <v>673</v>
      </c>
      <c r="F3" s="4" t="s">
        <v>674</v>
      </c>
      <c r="G3" s="5"/>
      <c r="H3" s="4" t="s">
        <v>27</v>
      </c>
      <c r="I3" s="6" t="s">
        <v>28</v>
      </c>
      <c r="J3" s="7">
        <v>0</v>
      </c>
      <c r="K3" s="8"/>
      <c r="L3" s="9"/>
      <c r="M3" s="9" t="s">
        <v>955</v>
      </c>
      <c r="N3" s="9" t="s">
        <v>30</v>
      </c>
      <c r="O3" s="9" t="s">
        <v>676</v>
      </c>
      <c r="P3" s="9" t="s">
        <v>677</v>
      </c>
      <c r="Q3" s="10">
        <v>22526</v>
      </c>
      <c r="R3" s="10">
        <v>2564</v>
      </c>
      <c r="S3" s="11">
        <v>904.21</v>
      </c>
      <c r="T3" s="3" t="b">
        <v>1</v>
      </c>
      <c r="U3" s="3" t="b">
        <v>0</v>
      </c>
      <c r="V3" s="3" t="b">
        <v>1</v>
      </c>
    </row>
    <row r="4" spans="1:22" ht="75" x14ac:dyDescent="0.25">
      <c r="A4" s="3" t="s">
        <v>666</v>
      </c>
      <c r="B4" s="3">
        <v>4</v>
      </c>
      <c r="C4" s="4" t="s">
        <v>23</v>
      </c>
      <c r="D4" s="4" t="s">
        <v>24</v>
      </c>
      <c r="E4" s="3" t="s">
        <v>678</v>
      </c>
      <c r="F4" s="4" t="s">
        <v>679</v>
      </c>
      <c r="G4" s="5"/>
      <c r="H4" s="4" t="s">
        <v>27</v>
      </c>
      <c r="I4" s="6" t="s">
        <v>28</v>
      </c>
      <c r="J4" s="7">
        <v>0</v>
      </c>
      <c r="K4" s="8"/>
      <c r="L4" s="9"/>
      <c r="M4" s="9" t="s">
        <v>956</v>
      </c>
      <c r="N4" s="9" t="s">
        <v>30</v>
      </c>
      <c r="O4" s="9" t="s">
        <v>957</v>
      </c>
      <c r="P4" s="9" t="s">
        <v>958</v>
      </c>
      <c r="Q4" s="10">
        <v>22526</v>
      </c>
      <c r="R4" s="10">
        <v>2564</v>
      </c>
      <c r="S4" s="11">
        <v>904.21</v>
      </c>
      <c r="T4" s="3" t="b">
        <v>1</v>
      </c>
      <c r="U4" s="3" t="b">
        <v>0</v>
      </c>
      <c r="V4" s="3" t="b">
        <v>1</v>
      </c>
    </row>
    <row r="5" spans="1:22" ht="75" x14ac:dyDescent="0.25">
      <c r="A5" s="3" t="s">
        <v>666</v>
      </c>
      <c r="B5" s="3">
        <v>4</v>
      </c>
      <c r="C5" s="4" t="s">
        <v>23</v>
      </c>
      <c r="D5" s="4" t="s">
        <v>24</v>
      </c>
      <c r="E5" s="3" t="s">
        <v>25</v>
      </c>
      <c r="F5" s="4" t="s">
        <v>26</v>
      </c>
      <c r="G5" s="5"/>
      <c r="H5" s="4" t="s">
        <v>27</v>
      </c>
      <c r="I5" s="6" t="s">
        <v>28</v>
      </c>
      <c r="J5" s="7">
        <v>0</v>
      </c>
      <c r="K5" s="8"/>
      <c r="L5" s="9"/>
      <c r="M5" s="9" t="s">
        <v>959</v>
      </c>
      <c r="N5" s="9" t="s">
        <v>30</v>
      </c>
      <c r="O5" s="9" t="s">
        <v>960</v>
      </c>
      <c r="P5" s="9" t="s">
        <v>961</v>
      </c>
      <c r="Q5" s="10">
        <v>22526</v>
      </c>
      <c r="R5" s="10">
        <v>2564</v>
      </c>
      <c r="S5" s="11">
        <v>904.21</v>
      </c>
      <c r="T5" s="3" t="b">
        <v>1</v>
      </c>
      <c r="U5" s="3" t="b">
        <v>0</v>
      </c>
      <c r="V5" s="3" t="b">
        <v>1</v>
      </c>
    </row>
    <row r="6" spans="1:22" ht="75" x14ac:dyDescent="0.25">
      <c r="A6" s="3" t="s">
        <v>666</v>
      </c>
      <c r="B6" s="3">
        <v>4</v>
      </c>
      <c r="C6" s="4" t="s">
        <v>23</v>
      </c>
      <c r="D6" s="4" t="s">
        <v>24</v>
      </c>
      <c r="E6" s="3" t="s">
        <v>33</v>
      </c>
      <c r="F6" s="4" t="s">
        <v>34</v>
      </c>
      <c r="G6" s="5"/>
      <c r="H6" s="4" t="s">
        <v>27</v>
      </c>
      <c r="I6" s="6" t="s">
        <v>28</v>
      </c>
      <c r="J6" s="7">
        <v>0</v>
      </c>
      <c r="K6" s="8"/>
      <c r="L6" s="9"/>
      <c r="M6" s="9" t="s">
        <v>962</v>
      </c>
      <c r="N6" s="9" t="s">
        <v>30</v>
      </c>
      <c r="O6" s="9" t="s">
        <v>687</v>
      </c>
      <c r="P6" s="9" t="s">
        <v>688</v>
      </c>
      <c r="Q6" s="10">
        <v>22526</v>
      </c>
      <c r="R6" s="10">
        <v>2564</v>
      </c>
      <c r="S6" s="11">
        <v>904.21</v>
      </c>
      <c r="T6" s="3" t="b">
        <v>1</v>
      </c>
      <c r="U6" s="3" t="b">
        <v>0</v>
      </c>
      <c r="V6" s="3" t="b">
        <v>1</v>
      </c>
    </row>
    <row r="7" spans="1:22" ht="75" x14ac:dyDescent="0.25">
      <c r="A7" s="3" t="s">
        <v>666</v>
      </c>
      <c r="B7" s="3">
        <v>4</v>
      </c>
      <c r="C7" s="4" t="s">
        <v>23</v>
      </c>
      <c r="D7" s="4" t="s">
        <v>24</v>
      </c>
      <c r="E7" s="3" t="s">
        <v>39</v>
      </c>
      <c r="F7" s="4" t="s">
        <v>40</v>
      </c>
      <c r="G7" s="5"/>
      <c r="H7" s="4" t="s">
        <v>27</v>
      </c>
      <c r="I7" s="6" t="s">
        <v>28</v>
      </c>
      <c r="J7" s="7">
        <v>0</v>
      </c>
      <c r="K7" s="8"/>
      <c r="L7" s="9"/>
      <c r="M7" s="9" t="s">
        <v>963</v>
      </c>
      <c r="N7" s="9" t="s">
        <v>42</v>
      </c>
      <c r="O7" s="9" t="s">
        <v>964</v>
      </c>
      <c r="P7" s="9" t="s">
        <v>965</v>
      </c>
      <c r="Q7" s="10">
        <v>22526</v>
      </c>
      <c r="R7" s="10">
        <v>2564</v>
      </c>
      <c r="S7" s="11">
        <v>904.21</v>
      </c>
      <c r="T7" s="3" t="b">
        <v>1</v>
      </c>
      <c r="U7" s="3" t="b">
        <v>0</v>
      </c>
      <c r="V7" s="3" t="b">
        <v>1</v>
      </c>
    </row>
    <row r="8" spans="1:22" ht="75" x14ac:dyDescent="0.25">
      <c r="A8" s="3" t="s">
        <v>666</v>
      </c>
      <c r="B8" s="3">
        <v>4</v>
      </c>
      <c r="C8" s="4" t="s">
        <v>23</v>
      </c>
      <c r="D8" s="4" t="s">
        <v>24</v>
      </c>
      <c r="E8" s="3" t="s">
        <v>45</v>
      </c>
      <c r="F8" s="4" t="s">
        <v>46</v>
      </c>
      <c r="G8" s="5"/>
      <c r="H8" s="4" t="s">
        <v>27</v>
      </c>
      <c r="I8" s="6" t="s">
        <v>28</v>
      </c>
      <c r="J8" s="7">
        <v>0</v>
      </c>
      <c r="K8" s="8"/>
      <c r="L8" s="9"/>
      <c r="M8" s="9" t="s">
        <v>966</v>
      </c>
      <c r="N8" s="9" t="s">
        <v>48</v>
      </c>
      <c r="O8" s="9" t="s">
        <v>692</v>
      </c>
      <c r="P8" s="9" t="s">
        <v>967</v>
      </c>
      <c r="Q8" s="10">
        <v>22526</v>
      </c>
      <c r="R8" s="10">
        <v>2564</v>
      </c>
      <c r="S8" s="11">
        <v>904.21</v>
      </c>
      <c r="T8" s="3" t="b">
        <v>1</v>
      </c>
      <c r="U8" s="3" t="b">
        <v>0</v>
      </c>
      <c r="V8" s="3" t="b">
        <v>1</v>
      </c>
    </row>
    <row r="9" spans="1:22" ht="75" x14ac:dyDescent="0.25">
      <c r="A9" s="3" t="s">
        <v>666</v>
      </c>
      <c r="B9" s="3">
        <v>4</v>
      </c>
      <c r="C9" s="4" t="s">
        <v>23</v>
      </c>
      <c r="D9" s="4" t="s">
        <v>24</v>
      </c>
      <c r="E9" s="3" t="s">
        <v>51</v>
      </c>
      <c r="F9" s="4" t="s">
        <v>52</v>
      </c>
      <c r="G9" s="5"/>
      <c r="H9" s="4" t="s">
        <v>27</v>
      </c>
      <c r="I9" s="6" t="s">
        <v>28</v>
      </c>
      <c r="J9" s="7">
        <v>0</v>
      </c>
      <c r="K9" s="8"/>
      <c r="L9" s="9"/>
      <c r="M9" s="9" t="s">
        <v>968</v>
      </c>
      <c r="N9" s="9" t="s">
        <v>42</v>
      </c>
      <c r="O9" s="9" t="s">
        <v>54</v>
      </c>
      <c r="P9" s="9" t="s">
        <v>969</v>
      </c>
      <c r="Q9" s="10">
        <v>22526</v>
      </c>
      <c r="R9" s="10">
        <v>2564</v>
      </c>
      <c r="S9" s="11">
        <v>904.21</v>
      </c>
      <c r="T9" s="3" t="b">
        <v>1</v>
      </c>
      <c r="U9" s="3" t="b">
        <v>0</v>
      </c>
      <c r="V9" s="3" t="b">
        <v>1</v>
      </c>
    </row>
    <row r="10" spans="1:22" ht="75" x14ac:dyDescent="0.25">
      <c r="A10" s="3" t="s">
        <v>666</v>
      </c>
      <c r="B10" s="3">
        <v>4</v>
      </c>
      <c r="C10" s="4" t="s">
        <v>23</v>
      </c>
      <c r="D10" s="4" t="s">
        <v>24</v>
      </c>
      <c r="E10" s="3" t="s">
        <v>56</v>
      </c>
      <c r="F10" s="4" t="s">
        <v>57</v>
      </c>
      <c r="G10" s="5"/>
      <c r="H10" s="4" t="s">
        <v>27</v>
      </c>
      <c r="I10" s="6" t="s">
        <v>28</v>
      </c>
      <c r="J10" s="7">
        <v>0</v>
      </c>
      <c r="K10" s="8"/>
      <c r="L10" s="9"/>
      <c r="M10" s="9" t="s">
        <v>970</v>
      </c>
      <c r="N10" s="9" t="s">
        <v>307</v>
      </c>
      <c r="O10" s="9" t="s">
        <v>697</v>
      </c>
      <c r="P10" s="9" t="s">
        <v>971</v>
      </c>
      <c r="Q10" s="10">
        <v>22526</v>
      </c>
      <c r="R10" s="10">
        <v>2564</v>
      </c>
      <c r="S10" s="11">
        <v>904.21</v>
      </c>
      <c r="T10" s="3" t="b">
        <v>1</v>
      </c>
      <c r="U10" s="3" t="b">
        <v>0</v>
      </c>
      <c r="V10" s="3" t="b">
        <v>1</v>
      </c>
    </row>
    <row r="11" spans="1:22" ht="75" x14ac:dyDescent="0.25">
      <c r="A11" s="3" t="s">
        <v>666</v>
      </c>
      <c r="B11" s="3">
        <v>4</v>
      </c>
      <c r="C11" s="4" t="s">
        <v>23</v>
      </c>
      <c r="D11" s="4" t="s">
        <v>61</v>
      </c>
      <c r="E11" s="3" t="s">
        <v>62</v>
      </c>
      <c r="F11" s="4" t="s">
        <v>63</v>
      </c>
      <c r="G11" s="5"/>
      <c r="H11" s="4" t="s">
        <v>27</v>
      </c>
      <c r="I11" s="6" t="s">
        <v>35</v>
      </c>
      <c r="J11" s="7">
        <v>2</v>
      </c>
      <c r="K11" s="8"/>
      <c r="L11" s="9"/>
      <c r="M11" s="9" t="s">
        <v>972</v>
      </c>
      <c r="N11" s="9" t="s">
        <v>307</v>
      </c>
      <c r="O11" s="9" t="s">
        <v>973</v>
      </c>
      <c r="P11" s="9" t="s">
        <v>974</v>
      </c>
      <c r="Q11" s="10">
        <v>24260</v>
      </c>
      <c r="R11" s="10">
        <v>3426</v>
      </c>
      <c r="S11" s="11">
        <v>1277.3</v>
      </c>
      <c r="T11" s="3" t="b">
        <v>1</v>
      </c>
      <c r="U11" s="3" t="b">
        <v>0</v>
      </c>
      <c r="V11" s="3" t="b">
        <v>1</v>
      </c>
    </row>
    <row r="12" spans="1:22" ht="75" x14ac:dyDescent="0.25">
      <c r="A12" s="3" t="s">
        <v>666</v>
      </c>
      <c r="B12" s="3">
        <v>4</v>
      </c>
      <c r="C12" s="4" t="s">
        <v>23</v>
      </c>
      <c r="D12" s="4" t="s">
        <v>61</v>
      </c>
      <c r="E12" s="3" t="s">
        <v>67</v>
      </c>
      <c r="F12" s="4" t="s">
        <v>68</v>
      </c>
      <c r="G12" s="5"/>
      <c r="H12" s="4" t="s">
        <v>27</v>
      </c>
      <c r="I12" s="6" t="s">
        <v>35</v>
      </c>
      <c r="J12" s="7">
        <v>2</v>
      </c>
      <c r="K12" s="8"/>
      <c r="L12" s="9"/>
      <c r="M12" s="9" t="s">
        <v>975</v>
      </c>
      <c r="N12" s="9" t="s">
        <v>307</v>
      </c>
      <c r="O12" s="9" t="s">
        <v>976</v>
      </c>
      <c r="P12" s="9" t="s">
        <v>977</v>
      </c>
      <c r="Q12" s="10">
        <v>24260</v>
      </c>
      <c r="R12" s="10">
        <v>3426</v>
      </c>
      <c r="S12" s="11">
        <v>1277.3</v>
      </c>
      <c r="T12" s="3" t="b">
        <v>1</v>
      </c>
      <c r="U12" s="3" t="b">
        <v>0</v>
      </c>
      <c r="V12" s="3" t="b">
        <v>1</v>
      </c>
    </row>
    <row r="13" spans="1:22" ht="75" x14ac:dyDescent="0.25">
      <c r="A13" s="3" t="s">
        <v>666</v>
      </c>
      <c r="B13" s="3">
        <v>4</v>
      </c>
      <c r="C13" s="4" t="s">
        <v>23</v>
      </c>
      <c r="D13" s="4" t="s">
        <v>61</v>
      </c>
      <c r="E13" s="3" t="s">
        <v>72</v>
      </c>
      <c r="F13" s="4" t="s">
        <v>705</v>
      </c>
      <c r="G13" s="5"/>
      <c r="H13" s="4" t="s">
        <v>27</v>
      </c>
      <c r="I13" s="6" t="s">
        <v>35</v>
      </c>
      <c r="J13" s="7">
        <v>3</v>
      </c>
      <c r="K13" s="8"/>
      <c r="L13" s="9"/>
      <c r="M13" s="9" t="s">
        <v>978</v>
      </c>
      <c r="N13" s="9" t="s">
        <v>811</v>
      </c>
      <c r="O13" s="9" t="s">
        <v>979</v>
      </c>
      <c r="P13" s="9" t="s">
        <v>813</v>
      </c>
      <c r="Q13" s="10">
        <v>24260</v>
      </c>
      <c r="R13" s="10">
        <v>3426</v>
      </c>
      <c r="S13" s="11">
        <v>1277.3</v>
      </c>
      <c r="T13" s="3" t="b">
        <v>1</v>
      </c>
      <c r="U13" s="3" t="b">
        <v>0</v>
      </c>
      <c r="V13" s="3" t="b">
        <v>1</v>
      </c>
    </row>
    <row r="14" spans="1:22" ht="75" x14ac:dyDescent="0.25">
      <c r="A14" s="3" t="s">
        <v>666</v>
      </c>
      <c r="B14" s="3">
        <v>4</v>
      </c>
      <c r="C14" s="4" t="s">
        <v>23</v>
      </c>
      <c r="D14" s="4" t="s">
        <v>61</v>
      </c>
      <c r="E14" s="3" t="s">
        <v>77</v>
      </c>
      <c r="F14" s="4" t="s">
        <v>78</v>
      </c>
      <c r="G14" s="5"/>
      <c r="H14" s="4" t="s">
        <v>27</v>
      </c>
      <c r="I14" s="6" t="s">
        <v>35</v>
      </c>
      <c r="J14" s="7">
        <v>3</v>
      </c>
      <c r="K14" s="8"/>
      <c r="L14" s="9"/>
      <c r="M14" s="9" t="s">
        <v>980</v>
      </c>
      <c r="N14" s="9" t="s">
        <v>811</v>
      </c>
      <c r="O14" s="9" t="s">
        <v>815</v>
      </c>
      <c r="P14" s="9" t="s">
        <v>816</v>
      </c>
      <c r="Q14" s="10">
        <v>24260</v>
      </c>
      <c r="R14" s="10">
        <v>3426</v>
      </c>
      <c r="S14" s="11">
        <v>1277.3</v>
      </c>
      <c r="T14" s="3" t="b">
        <v>1</v>
      </c>
      <c r="U14" s="3" t="b">
        <v>0</v>
      </c>
      <c r="V14" s="3" t="b">
        <v>1</v>
      </c>
    </row>
    <row r="15" spans="1:22" ht="75" x14ac:dyDescent="0.25">
      <c r="A15" s="3" t="s">
        <v>666</v>
      </c>
      <c r="B15" s="3">
        <v>4</v>
      </c>
      <c r="C15" s="4" t="s">
        <v>23</v>
      </c>
      <c r="D15" s="4" t="s">
        <v>61</v>
      </c>
      <c r="E15" s="3" t="s">
        <v>82</v>
      </c>
      <c r="F15" s="4" t="s">
        <v>83</v>
      </c>
      <c r="G15" s="5"/>
      <c r="H15" s="4" t="s">
        <v>27</v>
      </c>
      <c r="I15" s="6" t="s">
        <v>35</v>
      </c>
      <c r="J15" s="7">
        <v>4</v>
      </c>
      <c r="K15" s="8"/>
      <c r="L15" s="9"/>
      <c r="M15" s="9" t="s">
        <v>981</v>
      </c>
      <c r="N15" s="9" t="s">
        <v>811</v>
      </c>
      <c r="O15" s="9" t="s">
        <v>982</v>
      </c>
      <c r="P15" s="9" t="s">
        <v>983</v>
      </c>
      <c r="Q15" s="10">
        <v>24260</v>
      </c>
      <c r="R15" s="10">
        <v>3426</v>
      </c>
      <c r="S15" s="11">
        <v>1277.3</v>
      </c>
      <c r="T15" s="3" t="b">
        <v>1</v>
      </c>
      <c r="U15" s="3" t="b">
        <v>0</v>
      </c>
      <c r="V15" s="3" t="b">
        <v>1</v>
      </c>
    </row>
    <row r="16" spans="1:22" ht="75" x14ac:dyDescent="0.25">
      <c r="A16" s="3" t="s">
        <v>666</v>
      </c>
      <c r="B16" s="3">
        <v>4</v>
      </c>
      <c r="C16" s="4" t="s">
        <v>23</v>
      </c>
      <c r="D16" s="4" t="s">
        <v>61</v>
      </c>
      <c r="E16" s="3" t="s">
        <v>87</v>
      </c>
      <c r="F16" s="4" t="s">
        <v>88</v>
      </c>
      <c r="G16" s="5"/>
      <c r="H16" s="4" t="s">
        <v>27</v>
      </c>
      <c r="I16" s="6" t="s">
        <v>35</v>
      </c>
      <c r="J16" s="7">
        <v>4</v>
      </c>
      <c r="K16" s="8"/>
      <c r="L16" s="9"/>
      <c r="M16" s="9" t="s">
        <v>984</v>
      </c>
      <c r="N16" s="9" t="s">
        <v>811</v>
      </c>
      <c r="O16" s="9" t="s">
        <v>985</v>
      </c>
      <c r="P16" s="9" t="s">
        <v>822</v>
      </c>
      <c r="Q16" s="10">
        <v>24260</v>
      </c>
      <c r="R16" s="10">
        <v>3426</v>
      </c>
      <c r="S16" s="11">
        <v>1277.3</v>
      </c>
      <c r="T16" s="3" t="b">
        <v>1</v>
      </c>
      <c r="U16" s="3" t="b">
        <v>0</v>
      </c>
      <c r="V16" s="3" t="b">
        <v>1</v>
      </c>
    </row>
    <row r="17" spans="1:22" ht="75" x14ac:dyDescent="0.25">
      <c r="A17" s="3" t="s">
        <v>666</v>
      </c>
      <c r="B17" s="3">
        <v>4</v>
      </c>
      <c r="C17" s="4" t="s">
        <v>23</v>
      </c>
      <c r="D17" s="4" t="s">
        <v>61</v>
      </c>
      <c r="E17" s="3" t="s">
        <v>92</v>
      </c>
      <c r="F17" s="4" t="s">
        <v>718</v>
      </c>
      <c r="G17" s="5"/>
      <c r="H17" s="4" t="s">
        <v>27</v>
      </c>
      <c r="I17" s="6" t="s">
        <v>35</v>
      </c>
      <c r="J17" s="7">
        <v>2</v>
      </c>
      <c r="K17" s="8"/>
      <c r="L17" s="9"/>
      <c r="M17" s="9" t="s">
        <v>986</v>
      </c>
      <c r="N17" s="9" t="s">
        <v>307</v>
      </c>
      <c r="O17" s="9" t="s">
        <v>987</v>
      </c>
      <c r="P17" s="9" t="s">
        <v>988</v>
      </c>
      <c r="Q17" s="10">
        <v>24260</v>
      </c>
      <c r="R17" s="10">
        <v>3426</v>
      </c>
      <c r="S17" s="11">
        <v>1277.3</v>
      </c>
      <c r="T17" s="3" t="b">
        <v>1</v>
      </c>
      <c r="U17" s="3" t="b">
        <v>0</v>
      </c>
      <c r="V17" s="3" t="b">
        <v>1</v>
      </c>
    </row>
    <row r="18" spans="1:22" ht="75" x14ac:dyDescent="0.25">
      <c r="A18" s="3" t="s">
        <v>666</v>
      </c>
      <c r="B18" s="3">
        <v>4</v>
      </c>
      <c r="C18" s="4" t="s">
        <v>23</v>
      </c>
      <c r="D18" s="4" t="s">
        <v>61</v>
      </c>
      <c r="E18" s="3" t="s">
        <v>723</v>
      </c>
      <c r="F18" s="4" t="s">
        <v>724</v>
      </c>
      <c r="G18" s="5"/>
      <c r="H18" s="4" t="s">
        <v>27</v>
      </c>
      <c r="I18" s="6" t="s">
        <v>35</v>
      </c>
      <c r="J18" s="7">
        <v>2</v>
      </c>
      <c r="K18" s="8"/>
      <c r="L18" s="9"/>
      <c r="M18" s="9" t="s">
        <v>989</v>
      </c>
      <c r="N18" s="9" t="s">
        <v>811</v>
      </c>
      <c r="O18" s="9" t="s">
        <v>990</v>
      </c>
      <c r="P18" s="9" t="s">
        <v>991</v>
      </c>
      <c r="Q18" s="10">
        <v>24260</v>
      </c>
      <c r="R18" s="10">
        <v>3426</v>
      </c>
      <c r="S18" s="11">
        <v>1277.3</v>
      </c>
      <c r="T18" s="3" t="b">
        <v>1</v>
      </c>
      <c r="U18" s="3" t="b">
        <v>0</v>
      </c>
      <c r="V18" s="3" t="b">
        <v>1</v>
      </c>
    </row>
    <row r="19" spans="1:22" ht="75" x14ac:dyDescent="0.25">
      <c r="A19" s="3" t="s">
        <v>666</v>
      </c>
      <c r="B19" s="3">
        <v>4</v>
      </c>
      <c r="C19" s="4" t="s">
        <v>23</v>
      </c>
      <c r="D19" s="4" t="s">
        <v>61</v>
      </c>
      <c r="E19" s="3" t="s">
        <v>97</v>
      </c>
      <c r="F19" s="4" t="s">
        <v>728</v>
      </c>
      <c r="G19" s="5"/>
      <c r="H19" s="4" t="s">
        <v>27</v>
      </c>
      <c r="I19" s="6" t="s">
        <v>35</v>
      </c>
      <c r="J19" s="7">
        <v>3</v>
      </c>
      <c r="K19" s="8"/>
      <c r="L19" s="9"/>
      <c r="M19" s="9" t="s">
        <v>992</v>
      </c>
      <c r="N19" s="9" t="s">
        <v>811</v>
      </c>
      <c r="O19" s="9" t="s">
        <v>993</v>
      </c>
      <c r="P19" s="9" t="s">
        <v>994</v>
      </c>
      <c r="Q19" s="10">
        <v>24260</v>
      </c>
      <c r="R19" s="10">
        <v>3426</v>
      </c>
      <c r="S19" s="11">
        <v>1277.3</v>
      </c>
      <c r="T19" s="3" t="b">
        <v>1</v>
      </c>
      <c r="U19" s="3" t="b">
        <v>0</v>
      </c>
      <c r="V19" s="3" t="b">
        <v>1</v>
      </c>
    </row>
    <row r="20" spans="1:22" ht="75" x14ac:dyDescent="0.25">
      <c r="A20" s="3" t="s">
        <v>666</v>
      </c>
      <c r="B20" s="3">
        <v>4</v>
      </c>
      <c r="C20" s="4" t="s">
        <v>23</v>
      </c>
      <c r="D20" s="4" t="s">
        <v>61</v>
      </c>
      <c r="E20" s="3" t="s">
        <v>102</v>
      </c>
      <c r="F20" s="4" t="s">
        <v>732</v>
      </c>
      <c r="G20" s="5"/>
      <c r="H20" s="4" t="s">
        <v>27</v>
      </c>
      <c r="I20" s="6" t="s">
        <v>35</v>
      </c>
      <c r="J20" s="7">
        <v>2</v>
      </c>
      <c r="K20" s="8"/>
      <c r="L20" s="9"/>
      <c r="M20" s="9" t="s">
        <v>995</v>
      </c>
      <c r="N20" s="9" t="s">
        <v>307</v>
      </c>
      <c r="O20" s="9" t="s">
        <v>996</v>
      </c>
      <c r="P20" s="9" t="s">
        <v>997</v>
      </c>
      <c r="Q20" s="10">
        <v>24260</v>
      </c>
      <c r="R20" s="10">
        <v>3426</v>
      </c>
      <c r="S20" s="11">
        <v>1277.3</v>
      </c>
      <c r="T20" s="3" t="b">
        <v>1</v>
      </c>
      <c r="U20" s="3" t="b">
        <v>0</v>
      </c>
      <c r="V20" s="3" t="b">
        <v>1</v>
      </c>
    </row>
    <row r="21" spans="1:22" ht="75" x14ac:dyDescent="0.25">
      <c r="A21" s="3" t="s">
        <v>666</v>
      </c>
      <c r="B21" s="3">
        <v>4</v>
      </c>
      <c r="C21" s="4" t="s">
        <v>23</v>
      </c>
      <c r="D21" s="4" t="s">
        <v>61</v>
      </c>
      <c r="E21" s="3" t="s">
        <v>107</v>
      </c>
      <c r="F21" s="4" t="s">
        <v>93</v>
      </c>
      <c r="G21" s="5"/>
      <c r="H21" s="4" t="s">
        <v>27</v>
      </c>
      <c r="I21" s="6" t="s">
        <v>35</v>
      </c>
      <c r="J21" s="7">
        <v>5</v>
      </c>
      <c r="K21" s="8"/>
      <c r="L21" s="9"/>
      <c r="M21" s="9" t="s">
        <v>998</v>
      </c>
      <c r="N21" s="9" t="s">
        <v>307</v>
      </c>
      <c r="O21" s="9" t="s">
        <v>999</v>
      </c>
      <c r="P21" s="9" t="s">
        <v>1000</v>
      </c>
      <c r="Q21" s="10">
        <v>24260</v>
      </c>
      <c r="R21" s="10">
        <v>3426</v>
      </c>
      <c r="S21" s="11">
        <v>1277.3</v>
      </c>
      <c r="T21" s="3" t="b">
        <v>1</v>
      </c>
      <c r="U21" s="3" t="b">
        <v>0</v>
      </c>
      <c r="V21" s="3" t="b">
        <v>1</v>
      </c>
    </row>
    <row r="22" spans="1:22" ht="75" x14ac:dyDescent="0.25">
      <c r="A22" s="3" t="s">
        <v>666</v>
      </c>
      <c r="B22" s="3">
        <v>4</v>
      </c>
      <c r="C22" s="4" t="s">
        <v>23</v>
      </c>
      <c r="D22" s="4" t="s">
        <v>112</v>
      </c>
      <c r="E22" s="3"/>
      <c r="F22" s="4"/>
      <c r="G22" s="5"/>
      <c r="H22" s="4"/>
      <c r="I22" s="6"/>
      <c r="J22" s="7"/>
      <c r="K22" s="8"/>
      <c r="L22" s="9"/>
      <c r="M22" s="9"/>
      <c r="N22" s="9"/>
      <c r="O22" s="9"/>
      <c r="P22" s="9"/>
      <c r="Q22" s="10">
        <v>28099</v>
      </c>
      <c r="R22" s="10">
        <v>3901</v>
      </c>
      <c r="S22" s="11">
        <v>1592.4</v>
      </c>
      <c r="T22" s="3" t="b">
        <v>0</v>
      </c>
      <c r="U22" s="3" t="b">
        <v>1</v>
      </c>
      <c r="V22" s="3" t="b">
        <v>1</v>
      </c>
    </row>
    <row r="23" spans="1:22" ht="75" x14ac:dyDescent="0.25">
      <c r="A23" s="3" t="s">
        <v>666</v>
      </c>
      <c r="B23" s="3">
        <v>4</v>
      </c>
      <c r="C23" s="4" t="s">
        <v>23</v>
      </c>
      <c r="D23" s="4" t="s">
        <v>150</v>
      </c>
      <c r="E23" s="3"/>
      <c r="F23" s="4"/>
      <c r="G23" s="5"/>
      <c r="H23" s="4"/>
      <c r="I23" s="6"/>
      <c r="J23" s="7"/>
      <c r="K23" s="8"/>
      <c r="L23" s="9"/>
      <c r="M23" s="9"/>
      <c r="N23" s="9"/>
      <c r="O23" s="9"/>
      <c r="P23" s="9"/>
      <c r="Q23" s="10">
        <v>27044</v>
      </c>
      <c r="R23" s="10">
        <v>4956</v>
      </c>
      <c r="S23" s="11">
        <v>1943.86</v>
      </c>
      <c r="T23" s="3" t="b">
        <v>0</v>
      </c>
      <c r="U23" s="3" t="b">
        <v>1</v>
      </c>
      <c r="V23" s="3" t="b">
        <v>1</v>
      </c>
    </row>
    <row r="24" spans="1:22" ht="75" x14ac:dyDescent="0.25">
      <c r="A24" s="3" t="s">
        <v>666</v>
      </c>
      <c r="B24" s="3">
        <v>4</v>
      </c>
      <c r="C24" s="4" t="s">
        <v>23</v>
      </c>
      <c r="D24" s="4" t="s">
        <v>221</v>
      </c>
      <c r="E24" s="3" t="s">
        <v>222</v>
      </c>
      <c r="F24" s="4" t="s">
        <v>739</v>
      </c>
      <c r="G24" s="5"/>
      <c r="H24" s="4" t="s">
        <v>27</v>
      </c>
      <c r="I24" s="6"/>
      <c r="J24" s="7"/>
      <c r="K24" s="8"/>
      <c r="L24" s="9" t="s">
        <v>740</v>
      </c>
      <c r="M24" s="9" t="s">
        <v>741</v>
      </c>
      <c r="N24" s="9"/>
      <c r="O24" s="9" t="s">
        <v>742</v>
      </c>
      <c r="P24" s="9" t="s">
        <v>743</v>
      </c>
      <c r="Q24" s="10">
        <v>26530</v>
      </c>
      <c r="R24" s="10">
        <v>2663</v>
      </c>
      <c r="S24" s="11">
        <v>1050.3800000000001</v>
      </c>
      <c r="T24" s="3" t="b">
        <v>1</v>
      </c>
      <c r="U24" s="3" t="b">
        <v>0</v>
      </c>
      <c r="V24" s="3" t="b">
        <v>1</v>
      </c>
    </row>
    <row r="25" spans="1:22" ht="75" x14ac:dyDescent="0.25">
      <c r="A25" s="3" t="s">
        <v>666</v>
      </c>
      <c r="B25" s="3">
        <v>4</v>
      </c>
      <c r="C25" s="4" t="s">
        <v>23</v>
      </c>
      <c r="D25" s="4" t="s">
        <v>221</v>
      </c>
      <c r="E25" s="3" t="s">
        <v>227</v>
      </c>
      <c r="F25" s="4" t="s">
        <v>228</v>
      </c>
      <c r="G25" s="5"/>
      <c r="H25" s="4" t="s">
        <v>27</v>
      </c>
      <c r="I25" s="6"/>
      <c r="J25" s="7"/>
      <c r="K25" s="8"/>
      <c r="L25" s="9" t="s">
        <v>740</v>
      </c>
      <c r="M25" s="9" t="s">
        <v>744</v>
      </c>
      <c r="N25" s="9"/>
      <c r="O25" s="9" t="s">
        <v>1001</v>
      </c>
      <c r="P25" s="9" t="s">
        <v>746</v>
      </c>
      <c r="Q25" s="10">
        <v>26530</v>
      </c>
      <c r="R25" s="10">
        <v>2663</v>
      </c>
      <c r="S25" s="11">
        <v>1050.3800000000001</v>
      </c>
      <c r="T25" s="3" t="b">
        <v>1</v>
      </c>
      <c r="U25" s="3" t="b">
        <v>0</v>
      </c>
      <c r="V25" s="3" t="b">
        <v>1</v>
      </c>
    </row>
    <row r="26" spans="1:22" ht="75" x14ac:dyDescent="0.25">
      <c r="A26" s="3" t="s">
        <v>666</v>
      </c>
      <c r="B26" s="3">
        <v>4</v>
      </c>
      <c r="C26" s="4" t="s">
        <v>23</v>
      </c>
      <c r="D26" s="4" t="s">
        <v>221</v>
      </c>
      <c r="E26" s="3" t="s">
        <v>232</v>
      </c>
      <c r="F26" s="4" t="s">
        <v>233</v>
      </c>
      <c r="G26" s="5"/>
      <c r="H26" s="4" t="s">
        <v>27</v>
      </c>
      <c r="I26" s="6"/>
      <c r="J26" s="7"/>
      <c r="K26" s="8"/>
      <c r="L26" s="9" t="s">
        <v>747</v>
      </c>
      <c r="M26" s="9" t="s">
        <v>748</v>
      </c>
      <c r="N26" s="9"/>
      <c r="O26" s="9" t="s">
        <v>1002</v>
      </c>
      <c r="P26" s="9" t="s">
        <v>750</v>
      </c>
      <c r="Q26" s="10">
        <v>26530</v>
      </c>
      <c r="R26" s="10">
        <v>2663</v>
      </c>
      <c r="S26" s="11">
        <v>1050.3800000000001</v>
      </c>
      <c r="T26" s="3" t="b">
        <v>1</v>
      </c>
      <c r="U26" s="3" t="b">
        <v>0</v>
      </c>
      <c r="V26" s="3" t="b">
        <v>1</v>
      </c>
    </row>
    <row r="27" spans="1:22" ht="75" x14ac:dyDescent="0.25">
      <c r="A27" s="3" t="s">
        <v>666</v>
      </c>
      <c r="B27" s="3">
        <v>4</v>
      </c>
      <c r="C27" s="4" t="s">
        <v>23</v>
      </c>
      <c r="D27" s="4" t="s">
        <v>221</v>
      </c>
      <c r="E27" s="3" t="s">
        <v>237</v>
      </c>
      <c r="F27" s="4" t="s">
        <v>238</v>
      </c>
      <c r="G27" s="5"/>
      <c r="H27" s="4" t="s">
        <v>27</v>
      </c>
      <c r="I27" s="6"/>
      <c r="J27" s="7"/>
      <c r="K27" s="8"/>
      <c r="L27" s="9" t="s">
        <v>751</v>
      </c>
      <c r="M27" s="9" t="s">
        <v>752</v>
      </c>
      <c r="N27" s="9"/>
      <c r="O27" s="9" t="s">
        <v>1003</v>
      </c>
      <c r="P27" s="9" t="s">
        <v>754</v>
      </c>
      <c r="Q27" s="10">
        <v>26530</v>
      </c>
      <c r="R27" s="10">
        <v>2663</v>
      </c>
      <c r="S27" s="11">
        <v>1050.3800000000001</v>
      </c>
      <c r="T27" s="3" t="b">
        <v>1</v>
      </c>
      <c r="U27" s="3" t="b">
        <v>0</v>
      </c>
      <c r="V27" s="3" t="b">
        <v>1</v>
      </c>
    </row>
    <row r="28" spans="1:22" ht="75" x14ac:dyDescent="0.25">
      <c r="A28" s="3" t="s">
        <v>666</v>
      </c>
      <c r="B28" s="3">
        <v>4</v>
      </c>
      <c r="C28" s="4" t="s">
        <v>23</v>
      </c>
      <c r="D28" s="4" t="s">
        <v>221</v>
      </c>
      <c r="E28" s="3" t="s">
        <v>242</v>
      </c>
      <c r="F28" s="4" t="s">
        <v>243</v>
      </c>
      <c r="G28" s="5"/>
      <c r="H28" s="4" t="s">
        <v>27</v>
      </c>
      <c r="I28" s="6"/>
      <c r="J28" s="7"/>
      <c r="K28" s="8"/>
      <c r="L28" s="9" t="s">
        <v>1004</v>
      </c>
      <c r="M28" s="9" t="s">
        <v>756</v>
      </c>
      <c r="N28" s="9"/>
      <c r="O28" s="9" t="s">
        <v>1005</v>
      </c>
      <c r="P28" s="9" t="s">
        <v>758</v>
      </c>
      <c r="Q28" s="10">
        <v>26530</v>
      </c>
      <c r="R28" s="10">
        <v>2663</v>
      </c>
      <c r="S28" s="11">
        <v>1050.3800000000001</v>
      </c>
      <c r="T28" s="3" t="b">
        <v>1</v>
      </c>
      <c r="U28" s="3" t="b">
        <v>0</v>
      </c>
      <c r="V28" s="3" t="b">
        <v>1</v>
      </c>
    </row>
    <row r="29" spans="1:22" ht="75" x14ac:dyDescent="0.25">
      <c r="A29" s="3" t="s">
        <v>666</v>
      </c>
      <c r="B29" s="3">
        <v>4</v>
      </c>
      <c r="C29" s="4" t="s">
        <v>23</v>
      </c>
      <c r="D29" s="4" t="s">
        <v>221</v>
      </c>
      <c r="E29" s="3" t="s">
        <v>247</v>
      </c>
      <c r="F29" s="4" t="s">
        <v>248</v>
      </c>
      <c r="G29" s="5"/>
      <c r="H29" s="4" t="s">
        <v>27</v>
      </c>
      <c r="I29" s="6"/>
      <c r="J29" s="7"/>
      <c r="K29" s="8"/>
      <c r="L29" s="9" t="s">
        <v>759</v>
      </c>
      <c r="M29" s="9" t="s">
        <v>760</v>
      </c>
      <c r="N29" s="9"/>
      <c r="O29" s="9" t="s">
        <v>1006</v>
      </c>
      <c r="P29" s="9" t="s">
        <v>762</v>
      </c>
      <c r="Q29" s="10">
        <v>26530</v>
      </c>
      <c r="R29" s="10">
        <v>2663</v>
      </c>
      <c r="S29" s="11">
        <v>1050.3800000000001</v>
      </c>
      <c r="T29" s="3" t="b">
        <v>1</v>
      </c>
      <c r="U29" s="3" t="b">
        <v>0</v>
      </c>
      <c r="V29" s="3" t="b">
        <v>1</v>
      </c>
    </row>
    <row r="30" spans="1:22" ht="75" x14ac:dyDescent="0.25">
      <c r="A30" s="3" t="s">
        <v>666</v>
      </c>
      <c r="B30" s="3">
        <v>4</v>
      </c>
      <c r="C30" s="4" t="s">
        <v>23</v>
      </c>
      <c r="D30" s="4" t="s">
        <v>221</v>
      </c>
      <c r="E30" s="3" t="s">
        <v>252</v>
      </c>
      <c r="F30" s="4" t="s">
        <v>253</v>
      </c>
      <c r="G30" s="5"/>
      <c r="H30" s="4" t="s">
        <v>27</v>
      </c>
      <c r="I30" s="6"/>
      <c r="J30" s="7"/>
      <c r="K30" s="8"/>
      <c r="L30" s="9" t="s">
        <v>763</v>
      </c>
      <c r="M30" s="9" t="s">
        <v>764</v>
      </c>
      <c r="N30" s="9"/>
      <c r="O30" s="9" t="s">
        <v>1007</v>
      </c>
      <c r="P30" s="9" t="s">
        <v>766</v>
      </c>
      <c r="Q30" s="10">
        <v>26530</v>
      </c>
      <c r="R30" s="10">
        <v>2663</v>
      </c>
      <c r="S30" s="11">
        <v>1050.3800000000001</v>
      </c>
      <c r="T30" s="3" t="b">
        <v>1</v>
      </c>
      <c r="U30" s="3" t="b">
        <v>0</v>
      </c>
      <c r="V30" s="3" t="b">
        <v>1</v>
      </c>
    </row>
    <row r="31" spans="1:22" ht="75" x14ac:dyDescent="0.25">
      <c r="A31" s="3" t="s">
        <v>666</v>
      </c>
      <c r="B31" s="3">
        <v>4</v>
      </c>
      <c r="C31" s="4" t="s">
        <v>23</v>
      </c>
      <c r="D31" s="4" t="s">
        <v>221</v>
      </c>
      <c r="E31" s="3" t="s">
        <v>257</v>
      </c>
      <c r="F31" s="4" t="s">
        <v>258</v>
      </c>
      <c r="G31" s="5"/>
      <c r="H31" s="4" t="s">
        <v>27</v>
      </c>
      <c r="I31" s="6"/>
      <c r="J31" s="7"/>
      <c r="K31" s="8"/>
      <c r="L31" s="9" t="s">
        <v>759</v>
      </c>
      <c r="M31" s="9" t="s">
        <v>767</v>
      </c>
      <c r="N31" s="9"/>
      <c r="O31" s="9" t="s">
        <v>1008</v>
      </c>
      <c r="P31" s="9" t="s">
        <v>769</v>
      </c>
      <c r="Q31" s="10">
        <v>26530</v>
      </c>
      <c r="R31" s="10">
        <v>2663</v>
      </c>
      <c r="S31" s="11">
        <v>1050.3800000000001</v>
      </c>
      <c r="T31" s="3" t="b">
        <v>1</v>
      </c>
      <c r="U31" s="3" t="b">
        <v>0</v>
      </c>
      <c r="V31" s="3" t="b">
        <v>1</v>
      </c>
    </row>
    <row r="32" spans="1:22" ht="75" x14ac:dyDescent="0.25">
      <c r="A32" s="3" t="s">
        <v>666</v>
      </c>
      <c r="B32" s="3">
        <v>4</v>
      </c>
      <c r="C32" s="4" t="s">
        <v>23</v>
      </c>
      <c r="D32" s="4" t="s">
        <v>221</v>
      </c>
      <c r="E32" s="3" t="s">
        <v>262</v>
      </c>
      <c r="F32" s="4" t="s">
        <v>263</v>
      </c>
      <c r="G32" s="5"/>
      <c r="H32" s="4" t="s">
        <v>27</v>
      </c>
      <c r="I32" s="6"/>
      <c r="J32" s="7"/>
      <c r="K32" s="8"/>
      <c r="L32" s="9" t="s">
        <v>759</v>
      </c>
      <c r="M32" s="9" t="s">
        <v>770</v>
      </c>
      <c r="N32" s="9"/>
      <c r="O32" s="9" t="s">
        <v>1009</v>
      </c>
      <c r="P32" s="9" t="s">
        <v>772</v>
      </c>
      <c r="Q32" s="10">
        <v>26530</v>
      </c>
      <c r="R32" s="10">
        <v>2663</v>
      </c>
      <c r="S32" s="11">
        <v>1050.3800000000001</v>
      </c>
      <c r="T32" s="3" t="b">
        <v>1</v>
      </c>
      <c r="U32" s="3" t="b">
        <v>0</v>
      </c>
      <c r="V32" s="3" t="b">
        <v>1</v>
      </c>
    </row>
    <row r="33" spans="1:22" ht="75" x14ac:dyDescent="0.25">
      <c r="A33" s="3" t="s">
        <v>666</v>
      </c>
      <c r="B33" s="3">
        <v>4</v>
      </c>
      <c r="C33" s="4" t="s">
        <v>23</v>
      </c>
      <c r="D33" s="4" t="s">
        <v>221</v>
      </c>
      <c r="E33" s="3" t="s">
        <v>267</v>
      </c>
      <c r="F33" s="4" t="s">
        <v>268</v>
      </c>
      <c r="G33" s="5"/>
      <c r="H33" s="4" t="s">
        <v>27</v>
      </c>
      <c r="I33" s="6"/>
      <c r="J33" s="7"/>
      <c r="K33" s="8"/>
      <c r="L33" s="9" t="s">
        <v>773</v>
      </c>
      <c r="M33" s="9" t="s">
        <v>774</v>
      </c>
      <c r="N33" s="9"/>
      <c r="O33" s="9" t="s">
        <v>1010</v>
      </c>
      <c r="P33" s="9" t="s">
        <v>776</v>
      </c>
      <c r="Q33" s="10">
        <v>26530</v>
      </c>
      <c r="R33" s="10">
        <v>2663</v>
      </c>
      <c r="S33" s="11">
        <v>1050.3800000000001</v>
      </c>
      <c r="T33" s="3" t="b">
        <v>1</v>
      </c>
      <c r="U33" s="3" t="b">
        <v>0</v>
      </c>
      <c r="V33" s="3" t="b">
        <v>1</v>
      </c>
    </row>
    <row r="34" spans="1:22" ht="75" x14ac:dyDescent="0.25">
      <c r="A34" s="3" t="s">
        <v>666</v>
      </c>
      <c r="B34" s="3">
        <v>4</v>
      </c>
      <c r="C34" s="4" t="s">
        <v>23</v>
      </c>
      <c r="D34" s="4" t="s">
        <v>221</v>
      </c>
      <c r="E34" s="3" t="s">
        <v>272</v>
      </c>
      <c r="F34" s="4" t="s">
        <v>273</v>
      </c>
      <c r="G34" s="5"/>
      <c r="H34" s="4" t="s">
        <v>27</v>
      </c>
      <c r="I34" s="6"/>
      <c r="J34" s="7"/>
      <c r="K34" s="8"/>
      <c r="L34" s="9" t="s">
        <v>777</v>
      </c>
      <c r="M34" s="9" t="s">
        <v>778</v>
      </c>
      <c r="N34" s="9"/>
      <c r="O34" s="9" t="s">
        <v>1011</v>
      </c>
      <c r="P34" s="9" t="s">
        <v>1012</v>
      </c>
      <c r="Q34" s="10">
        <v>26530</v>
      </c>
      <c r="R34" s="10">
        <v>2663</v>
      </c>
      <c r="S34" s="11">
        <v>1050.3800000000001</v>
      </c>
      <c r="T34" s="3" t="b">
        <v>1</v>
      </c>
      <c r="U34" s="3" t="b">
        <v>0</v>
      </c>
      <c r="V34" s="3" t="b">
        <v>1</v>
      </c>
    </row>
    <row r="35" spans="1:22" ht="75" x14ac:dyDescent="0.25">
      <c r="A35" s="3" t="s">
        <v>666</v>
      </c>
      <c r="B35" s="3">
        <v>4</v>
      </c>
      <c r="C35" s="4" t="s">
        <v>23</v>
      </c>
      <c r="D35" s="4" t="s">
        <v>221</v>
      </c>
      <c r="E35" s="3" t="s">
        <v>277</v>
      </c>
      <c r="F35" s="4" t="s">
        <v>278</v>
      </c>
      <c r="G35" s="5"/>
      <c r="H35" s="4" t="s">
        <v>27</v>
      </c>
      <c r="I35" s="6"/>
      <c r="J35" s="7"/>
      <c r="K35" s="8"/>
      <c r="L35" s="9" t="s">
        <v>781</v>
      </c>
      <c r="M35" s="9" t="s">
        <v>782</v>
      </c>
      <c r="N35" s="9"/>
      <c r="O35" s="9" t="s">
        <v>1013</v>
      </c>
      <c r="P35" s="9" t="s">
        <v>784</v>
      </c>
      <c r="Q35" s="10">
        <v>26530</v>
      </c>
      <c r="R35" s="10">
        <v>2663</v>
      </c>
      <c r="S35" s="11">
        <v>1050.3800000000001</v>
      </c>
      <c r="T35" s="3" t="b">
        <v>1</v>
      </c>
      <c r="U35" s="3" t="b">
        <v>0</v>
      </c>
      <c r="V35" s="3" t="b">
        <v>1</v>
      </c>
    </row>
    <row r="36" spans="1:22" ht="75" x14ac:dyDescent="0.25">
      <c r="A36" s="3" t="s">
        <v>666</v>
      </c>
      <c r="B36" s="3">
        <v>4</v>
      </c>
      <c r="C36" s="4" t="s">
        <v>23</v>
      </c>
      <c r="D36" s="4" t="s">
        <v>221</v>
      </c>
      <c r="E36" s="3" t="s">
        <v>282</v>
      </c>
      <c r="F36" s="4" t="s">
        <v>283</v>
      </c>
      <c r="G36" s="5"/>
      <c r="H36" s="4" t="s">
        <v>27</v>
      </c>
      <c r="I36" s="6"/>
      <c r="J36" s="7"/>
      <c r="K36" s="8"/>
      <c r="L36" s="9" t="s">
        <v>785</v>
      </c>
      <c r="M36" s="9" t="s">
        <v>786</v>
      </c>
      <c r="N36" s="9"/>
      <c r="O36" s="9" t="s">
        <v>1014</v>
      </c>
      <c r="P36" s="9" t="s">
        <v>788</v>
      </c>
      <c r="Q36" s="10">
        <v>26530</v>
      </c>
      <c r="R36" s="10">
        <v>2663</v>
      </c>
      <c r="S36" s="11">
        <v>1050.3800000000001</v>
      </c>
      <c r="T36" s="3" t="b">
        <v>1</v>
      </c>
      <c r="U36" s="3" t="b">
        <v>0</v>
      </c>
      <c r="V36" s="3" t="b">
        <v>1</v>
      </c>
    </row>
  </sheetData>
  <autoFilter ref="A1:V36" xr:uid="{00000000-0009-0000-0000-000008000000}"/>
  <conditionalFormatting sqref="D2:D36">
    <cfRule type="containsText" dxfId="126" priority="16" operator="containsText" text="Climate And Resilience">
      <formula>NOT(ISERROR(SEARCH("Climate And Resilience",D2)))</formula>
    </cfRule>
    <cfRule type="containsText" dxfId="125" priority="17" operator="containsText" text="Leadership">
      <formula>NOT(ISERROR(SEARCH("Leadership",D2)))</formula>
    </cfRule>
    <cfRule type="containsText" dxfId="124" priority="18" operator="containsText" text="Natural World">
      <formula>NOT(ISERROR(SEARCH("Natural World",D2)))</formula>
    </cfRule>
    <cfRule type="containsText" dxfId="123" priority="19" operator="containsText" text="Quality Of Life">
      <formula>NOT(ISERROR(SEARCH("Quality Of Life",D2)))</formula>
    </cfRule>
    <cfRule type="containsText" dxfId="122" priority="20" operator="containsText" text="Resource Allocation">
      <formula>NOT(ISERROR(SEARCH("Resource Allocation",D2)))</formula>
    </cfRule>
  </conditionalFormatting>
  <conditionalFormatting sqref="G2:G36">
    <cfRule type="dataBar" priority="21">
      <dataBar>
        <cfvo type="min"/>
        <cfvo type="max"/>
        <color rgb="FF5B9BD5"/>
      </dataBar>
    </cfRule>
  </conditionalFormatting>
  <conditionalFormatting sqref="H2:H36">
    <cfRule type="containsText" dxfId="121" priority="8" operator="containsText" text="Not Applicable">
      <formula>NOT(ISERROR(SEARCH("Not Applicable",H2)))</formula>
    </cfRule>
    <cfRule type="containsText" dxfId="120" priority="9" operator="containsText" text="Applicable">
      <formula>NOT(ISERROR(SEARCH("Applicable",H2)))</formula>
    </cfRule>
  </conditionalFormatting>
  <conditionalFormatting sqref="I2:I36">
    <cfRule type="containsText" dxfId="119" priority="2" operator="containsText" text="No Level">
      <formula>NOT(ISERROR(SEARCH("No Level",I2)))</formula>
    </cfRule>
    <cfRule type="containsText" dxfId="118" priority="3" operator="containsText" text="Improved">
      <formula>NOT(ISERROR(SEARCH("Improved",I2)))</formula>
    </cfRule>
    <cfRule type="containsText" dxfId="117" priority="4" operator="containsText" text="Enhanced">
      <formula>NOT(ISERROR(SEARCH("Enhanced",I2)))</formula>
    </cfRule>
    <cfRule type="containsText" dxfId="116" priority="5" operator="containsText" text="Superior">
      <formula>NOT(ISERROR(SEARCH("Superior",I2)))</formula>
    </cfRule>
    <cfRule type="containsText" dxfId="115" priority="6" operator="containsText" text="Conserving">
      <formula>NOT(ISERROR(SEARCH("Conserving",I2)))</formula>
    </cfRule>
    <cfRule type="containsText" dxfId="114" priority="7" operator="containsText" text="Restorative">
      <formula>NOT(ISERROR(SEARCH("Restorative",I2)))</formula>
    </cfRule>
  </conditionalFormatting>
  <conditionalFormatting sqref="J2:J36">
    <cfRule type="dataBar" priority="22">
      <dataBar>
        <cfvo type="min"/>
        <cfvo type="max"/>
        <color rgb="FF70AD47"/>
      </dataBar>
    </cfRule>
  </conditionalFormatting>
  <conditionalFormatting sqref="K2:K3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36">
    <cfRule type="dataBar" priority="23">
      <dataBar>
        <cfvo type="min"/>
        <cfvo type="max"/>
        <color rgb="FFA5A5A5"/>
      </dataBar>
    </cfRule>
  </conditionalFormatting>
  <conditionalFormatting sqref="S2:S36">
    <cfRule type="dataBar" priority="24">
      <dataBar>
        <cfvo type="min"/>
        <cfvo type="max"/>
        <color rgb="FFED7D31"/>
      </dataBar>
    </cfRule>
  </conditionalFormatting>
  <conditionalFormatting sqref="T2:T36">
    <cfRule type="cellIs" dxfId="113" priority="10" operator="equal">
      <formula>TRUE</formula>
    </cfRule>
    <cfRule type="cellIs" dxfId="112" priority="11" operator="equal">
      <formula>FALSE</formula>
    </cfRule>
  </conditionalFormatting>
  <conditionalFormatting sqref="U2:U36">
    <cfRule type="cellIs" dxfId="111" priority="12" operator="equal">
      <formula>TRUE</formula>
    </cfRule>
    <cfRule type="cellIs" dxfId="110" priority="13" operator="equal">
      <formula>FALSE</formula>
    </cfRule>
  </conditionalFormatting>
  <conditionalFormatting sqref="V2:V36">
    <cfRule type="cellIs" dxfId="109" priority="14" operator="equal">
      <formula>TRUE</formula>
    </cfRule>
    <cfRule type="cellIs" dxfId="108" priority="15" operator="equal">
      <formula>FALSE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6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2" customWidth="1"/>
    <col min="2" max="2" width="6" customWidth="1"/>
    <col min="3" max="3" width="22" customWidth="1"/>
    <col min="4" max="4" width="24" customWidth="1"/>
    <col min="5" max="5" width="10" customWidth="1"/>
    <col min="6" max="6" width="32" customWidth="1"/>
    <col min="7" max="7" width="11" customWidth="1"/>
    <col min="8" max="8" width="14" customWidth="1"/>
    <col min="9" max="9" width="17" customWidth="1"/>
    <col min="10" max="10" width="15" customWidth="1"/>
    <col min="11" max="11" width="12" customWidth="1"/>
    <col min="12" max="13" width="52" customWidth="1"/>
    <col min="14" max="14" width="32" customWidth="1"/>
    <col min="15" max="16" width="42" customWidth="1"/>
    <col min="17" max="18" width="13" customWidth="1"/>
    <col min="19" max="19" width="12" customWidth="1"/>
    <col min="20" max="21" width="11" customWidth="1"/>
    <col min="22" max="22" width="10" customWidth="1"/>
  </cols>
  <sheetData>
    <row r="1" spans="1:22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ht="75" x14ac:dyDescent="0.25">
      <c r="A2" s="3" t="s">
        <v>666</v>
      </c>
      <c r="B2" s="3">
        <v>5</v>
      </c>
      <c r="C2" s="4" t="s">
        <v>23</v>
      </c>
      <c r="D2" s="4" t="s">
        <v>24</v>
      </c>
      <c r="E2" s="3" t="s">
        <v>667</v>
      </c>
      <c r="F2" s="4" t="s">
        <v>668</v>
      </c>
      <c r="G2" s="5"/>
      <c r="H2" s="4" t="s">
        <v>27</v>
      </c>
      <c r="I2" s="6" t="s">
        <v>28</v>
      </c>
      <c r="J2" s="7">
        <v>0</v>
      </c>
      <c r="K2" s="8"/>
      <c r="L2" s="9"/>
      <c r="M2" s="9" t="s">
        <v>669</v>
      </c>
      <c r="N2" s="9" t="s">
        <v>670</v>
      </c>
      <c r="O2" s="9" t="s">
        <v>671</v>
      </c>
      <c r="P2" s="9" t="s">
        <v>672</v>
      </c>
      <c r="Q2" s="10">
        <v>22526</v>
      </c>
      <c r="R2" s="10">
        <v>2626</v>
      </c>
      <c r="S2" s="11">
        <v>937.14</v>
      </c>
      <c r="T2" s="3" t="b">
        <v>1</v>
      </c>
      <c r="U2" s="3" t="b">
        <v>0</v>
      </c>
      <c r="V2" s="3" t="b">
        <v>1</v>
      </c>
    </row>
    <row r="3" spans="1:22" ht="75" x14ac:dyDescent="0.25">
      <c r="A3" s="3" t="s">
        <v>666</v>
      </c>
      <c r="B3" s="3">
        <v>5</v>
      </c>
      <c r="C3" s="4" t="s">
        <v>23</v>
      </c>
      <c r="D3" s="4" t="s">
        <v>24</v>
      </c>
      <c r="E3" s="3" t="s">
        <v>673</v>
      </c>
      <c r="F3" s="4" t="s">
        <v>674</v>
      </c>
      <c r="G3" s="5"/>
      <c r="H3" s="4" t="s">
        <v>27</v>
      </c>
      <c r="I3" s="6" t="s">
        <v>28</v>
      </c>
      <c r="J3" s="7">
        <v>0</v>
      </c>
      <c r="K3" s="8"/>
      <c r="L3" s="9"/>
      <c r="M3" s="9" t="s">
        <v>675</v>
      </c>
      <c r="N3" s="9" t="s">
        <v>30</v>
      </c>
      <c r="O3" s="9" t="s">
        <v>676</v>
      </c>
      <c r="P3" s="9" t="s">
        <v>677</v>
      </c>
      <c r="Q3" s="10">
        <v>22526</v>
      </c>
      <c r="R3" s="10">
        <v>2626</v>
      </c>
      <c r="S3" s="11">
        <v>937.14</v>
      </c>
      <c r="T3" s="3" t="b">
        <v>1</v>
      </c>
      <c r="U3" s="3" t="b">
        <v>0</v>
      </c>
      <c r="V3" s="3" t="b">
        <v>1</v>
      </c>
    </row>
    <row r="4" spans="1:22" ht="75" x14ac:dyDescent="0.25">
      <c r="A4" s="3" t="s">
        <v>666</v>
      </c>
      <c r="B4" s="3">
        <v>5</v>
      </c>
      <c r="C4" s="4" t="s">
        <v>23</v>
      </c>
      <c r="D4" s="4" t="s">
        <v>24</v>
      </c>
      <c r="E4" s="3" t="s">
        <v>678</v>
      </c>
      <c r="F4" s="4" t="s">
        <v>679</v>
      </c>
      <c r="G4" s="5"/>
      <c r="H4" s="4" t="s">
        <v>27</v>
      </c>
      <c r="I4" s="6" t="s">
        <v>28</v>
      </c>
      <c r="J4" s="7">
        <v>0</v>
      </c>
      <c r="K4" s="8"/>
      <c r="L4" s="9"/>
      <c r="M4" s="9" t="s">
        <v>680</v>
      </c>
      <c r="N4" s="9" t="s">
        <v>30</v>
      </c>
      <c r="O4" s="9" t="s">
        <v>681</v>
      </c>
      <c r="P4" s="9" t="s">
        <v>682</v>
      </c>
      <c r="Q4" s="10">
        <v>22526</v>
      </c>
      <c r="R4" s="10">
        <v>2626</v>
      </c>
      <c r="S4" s="11">
        <v>937.14</v>
      </c>
      <c r="T4" s="3" t="b">
        <v>1</v>
      </c>
      <c r="U4" s="3" t="b">
        <v>0</v>
      </c>
      <c r="V4" s="3" t="b">
        <v>1</v>
      </c>
    </row>
    <row r="5" spans="1:22" ht="75" x14ac:dyDescent="0.25">
      <c r="A5" s="3" t="s">
        <v>666</v>
      </c>
      <c r="B5" s="3">
        <v>5</v>
      </c>
      <c r="C5" s="4" t="s">
        <v>23</v>
      </c>
      <c r="D5" s="4" t="s">
        <v>24</v>
      </c>
      <c r="E5" s="3" t="s">
        <v>25</v>
      </c>
      <c r="F5" s="4" t="s">
        <v>26</v>
      </c>
      <c r="G5" s="5"/>
      <c r="H5" s="4" t="s">
        <v>27</v>
      </c>
      <c r="I5" s="6" t="s">
        <v>28</v>
      </c>
      <c r="J5" s="7">
        <v>0</v>
      </c>
      <c r="K5" s="8"/>
      <c r="L5" s="9"/>
      <c r="M5" s="9" t="s">
        <v>683</v>
      </c>
      <c r="N5" s="9" t="s">
        <v>30</v>
      </c>
      <c r="O5" s="9" t="s">
        <v>684</v>
      </c>
      <c r="P5" s="9" t="s">
        <v>685</v>
      </c>
      <c r="Q5" s="10">
        <v>22526</v>
      </c>
      <c r="R5" s="10">
        <v>2626</v>
      </c>
      <c r="S5" s="11">
        <v>937.14</v>
      </c>
      <c r="T5" s="3" t="b">
        <v>1</v>
      </c>
      <c r="U5" s="3" t="b">
        <v>0</v>
      </c>
      <c r="V5" s="3" t="b">
        <v>1</v>
      </c>
    </row>
    <row r="6" spans="1:22" ht="75" x14ac:dyDescent="0.25">
      <c r="A6" s="3" t="s">
        <v>666</v>
      </c>
      <c r="B6" s="3">
        <v>5</v>
      </c>
      <c r="C6" s="4" t="s">
        <v>23</v>
      </c>
      <c r="D6" s="4" t="s">
        <v>24</v>
      </c>
      <c r="E6" s="3" t="s">
        <v>33</v>
      </c>
      <c r="F6" s="4" t="s">
        <v>34</v>
      </c>
      <c r="G6" s="5"/>
      <c r="H6" s="4" t="s">
        <v>27</v>
      </c>
      <c r="I6" s="6" t="s">
        <v>28</v>
      </c>
      <c r="J6" s="7">
        <v>0</v>
      </c>
      <c r="K6" s="8"/>
      <c r="L6" s="9"/>
      <c r="M6" s="9" t="s">
        <v>686</v>
      </c>
      <c r="N6" s="9" t="s">
        <v>30</v>
      </c>
      <c r="O6" s="9" t="s">
        <v>687</v>
      </c>
      <c r="P6" s="9" t="s">
        <v>688</v>
      </c>
      <c r="Q6" s="10">
        <v>22526</v>
      </c>
      <c r="R6" s="10">
        <v>2626</v>
      </c>
      <c r="S6" s="11">
        <v>937.14</v>
      </c>
      <c r="T6" s="3" t="b">
        <v>1</v>
      </c>
      <c r="U6" s="3" t="b">
        <v>0</v>
      </c>
      <c r="V6" s="3" t="b">
        <v>1</v>
      </c>
    </row>
    <row r="7" spans="1:22" ht="75" x14ac:dyDescent="0.25">
      <c r="A7" s="3" t="s">
        <v>666</v>
      </c>
      <c r="B7" s="3">
        <v>5</v>
      </c>
      <c r="C7" s="4" t="s">
        <v>23</v>
      </c>
      <c r="D7" s="4" t="s">
        <v>24</v>
      </c>
      <c r="E7" s="3" t="s">
        <v>39</v>
      </c>
      <c r="F7" s="4" t="s">
        <v>40</v>
      </c>
      <c r="G7" s="5"/>
      <c r="H7" s="4" t="s">
        <v>27</v>
      </c>
      <c r="I7" s="6" t="s">
        <v>28</v>
      </c>
      <c r="J7" s="7">
        <v>0</v>
      </c>
      <c r="K7" s="8"/>
      <c r="L7" s="9"/>
      <c r="M7" s="9" t="s">
        <v>689</v>
      </c>
      <c r="N7" s="9" t="s">
        <v>42</v>
      </c>
      <c r="O7" s="9" t="s">
        <v>43</v>
      </c>
      <c r="P7" s="9" t="s">
        <v>690</v>
      </c>
      <c r="Q7" s="10">
        <v>22526</v>
      </c>
      <c r="R7" s="10">
        <v>2626</v>
      </c>
      <c r="S7" s="11">
        <v>937.14</v>
      </c>
      <c r="T7" s="3" t="b">
        <v>1</v>
      </c>
      <c r="U7" s="3" t="b">
        <v>0</v>
      </c>
      <c r="V7" s="3" t="b">
        <v>1</v>
      </c>
    </row>
    <row r="8" spans="1:22" ht="75" x14ac:dyDescent="0.25">
      <c r="A8" s="3" t="s">
        <v>666</v>
      </c>
      <c r="B8" s="3">
        <v>5</v>
      </c>
      <c r="C8" s="4" t="s">
        <v>23</v>
      </c>
      <c r="D8" s="4" t="s">
        <v>24</v>
      </c>
      <c r="E8" s="3" t="s">
        <v>45</v>
      </c>
      <c r="F8" s="4" t="s">
        <v>46</v>
      </c>
      <c r="G8" s="5"/>
      <c r="H8" s="4" t="s">
        <v>27</v>
      </c>
      <c r="I8" s="6" t="s">
        <v>28</v>
      </c>
      <c r="J8" s="7">
        <v>0</v>
      </c>
      <c r="K8" s="8"/>
      <c r="L8" s="9"/>
      <c r="M8" s="9" t="s">
        <v>691</v>
      </c>
      <c r="N8" s="9" t="s">
        <v>48</v>
      </c>
      <c r="O8" s="9" t="s">
        <v>692</v>
      </c>
      <c r="P8" s="9" t="s">
        <v>693</v>
      </c>
      <c r="Q8" s="10">
        <v>22526</v>
      </c>
      <c r="R8" s="10">
        <v>2626</v>
      </c>
      <c r="S8" s="11">
        <v>937.14</v>
      </c>
      <c r="T8" s="3" t="b">
        <v>1</v>
      </c>
      <c r="U8" s="3" t="b">
        <v>0</v>
      </c>
      <c r="V8" s="3" t="b">
        <v>1</v>
      </c>
    </row>
    <row r="9" spans="1:22" ht="75" x14ac:dyDescent="0.25">
      <c r="A9" s="3" t="s">
        <v>666</v>
      </c>
      <c r="B9" s="3">
        <v>5</v>
      </c>
      <c r="C9" s="4" t="s">
        <v>23</v>
      </c>
      <c r="D9" s="4" t="s">
        <v>24</v>
      </c>
      <c r="E9" s="3" t="s">
        <v>51</v>
      </c>
      <c r="F9" s="4" t="s">
        <v>52</v>
      </c>
      <c r="G9" s="5"/>
      <c r="H9" s="4" t="s">
        <v>27</v>
      </c>
      <c r="I9" s="6" t="s">
        <v>28</v>
      </c>
      <c r="J9" s="7">
        <v>0</v>
      </c>
      <c r="K9" s="8"/>
      <c r="L9" s="9"/>
      <c r="M9" s="9" t="s">
        <v>694</v>
      </c>
      <c r="N9" s="9" t="s">
        <v>42</v>
      </c>
      <c r="O9" s="9" t="s">
        <v>54</v>
      </c>
      <c r="P9" s="9" t="s">
        <v>695</v>
      </c>
      <c r="Q9" s="10">
        <v>22526</v>
      </c>
      <c r="R9" s="10">
        <v>2626</v>
      </c>
      <c r="S9" s="11">
        <v>937.14</v>
      </c>
      <c r="T9" s="3" t="b">
        <v>1</v>
      </c>
      <c r="U9" s="3" t="b">
        <v>0</v>
      </c>
      <c r="V9" s="3" t="b">
        <v>1</v>
      </c>
    </row>
    <row r="10" spans="1:22" ht="75" x14ac:dyDescent="0.25">
      <c r="A10" s="3" t="s">
        <v>666</v>
      </c>
      <c r="B10" s="3">
        <v>5</v>
      </c>
      <c r="C10" s="4" t="s">
        <v>23</v>
      </c>
      <c r="D10" s="4" t="s">
        <v>24</v>
      </c>
      <c r="E10" s="3" t="s">
        <v>56</v>
      </c>
      <c r="F10" s="4" t="s">
        <v>57</v>
      </c>
      <c r="G10" s="5"/>
      <c r="H10" s="4" t="s">
        <v>27</v>
      </c>
      <c r="I10" s="6" t="s">
        <v>28</v>
      </c>
      <c r="J10" s="7">
        <v>0</v>
      </c>
      <c r="K10" s="8"/>
      <c r="L10" s="9"/>
      <c r="M10" s="9" t="s">
        <v>696</v>
      </c>
      <c r="N10" s="9" t="s">
        <v>307</v>
      </c>
      <c r="O10" s="9" t="s">
        <v>697</v>
      </c>
      <c r="P10" s="9" t="s">
        <v>698</v>
      </c>
      <c r="Q10" s="10">
        <v>22526</v>
      </c>
      <c r="R10" s="10">
        <v>2626</v>
      </c>
      <c r="S10" s="11">
        <v>937.14</v>
      </c>
      <c r="T10" s="3" t="b">
        <v>1</v>
      </c>
      <c r="U10" s="3" t="b">
        <v>0</v>
      </c>
      <c r="V10" s="3" t="b">
        <v>1</v>
      </c>
    </row>
    <row r="11" spans="1:22" ht="75" x14ac:dyDescent="0.25">
      <c r="A11" s="3" t="s">
        <v>666</v>
      </c>
      <c r="B11" s="3">
        <v>5</v>
      </c>
      <c r="C11" s="4" t="s">
        <v>23</v>
      </c>
      <c r="D11" s="4" t="s">
        <v>61</v>
      </c>
      <c r="E11" s="3" t="s">
        <v>62</v>
      </c>
      <c r="F11" s="4" t="s">
        <v>63</v>
      </c>
      <c r="G11" s="5"/>
      <c r="H11" s="4" t="s">
        <v>27</v>
      </c>
      <c r="I11" s="6" t="s">
        <v>35</v>
      </c>
      <c r="J11" s="7">
        <v>2</v>
      </c>
      <c r="K11" s="8"/>
      <c r="L11" s="9"/>
      <c r="M11" s="9" t="s">
        <v>1015</v>
      </c>
      <c r="N11" s="9" t="s">
        <v>307</v>
      </c>
      <c r="O11" s="9" t="s">
        <v>973</v>
      </c>
      <c r="P11" s="9" t="s">
        <v>974</v>
      </c>
      <c r="Q11" s="10">
        <v>24260</v>
      </c>
      <c r="R11" s="10">
        <v>3614</v>
      </c>
      <c r="S11" s="11">
        <v>1361.59</v>
      </c>
      <c r="T11" s="3" t="b">
        <v>1</v>
      </c>
      <c r="U11" s="3" t="b">
        <v>0</v>
      </c>
      <c r="V11" s="3" t="b">
        <v>1</v>
      </c>
    </row>
    <row r="12" spans="1:22" ht="75" x14ac:dyDescent="0.25">
      <c r="A12" s="3" t="s">
        <v>666</v>
      </c>
      <c r="B12" s="3">
        <v>5</v>
      </c>
      <c r="C12" s="4" t="s">
        <v>23</v>
      </c>
      <c r="D12" s="4" t="s">
        <v>61</v>
      </c>
      <c r="E12" s="3" t="s">
        <v>67</v>
      </c>
      <c r="F12" s="4" t="s">
        <v>68</v>
      </c>
      <c r="G12" s="5"/>
      <c r="H12" s="4" t="s">
        <v>27</v>
      </c>
      <c r="I12" s="6" t="s">
        <v>35</v>
      </c>
      <c r="J12" s="7">
        <v>2</v>
      </c>
      <c r="K12" s="8"/>
      <c r="L12" s="9"/>
      <c r="M12" s="9" t="s">
        <v>1016</v>
      </c>
      <c r="N12" s="9" t="s">
        <v>307</v>
      </c>
      <c r="O12" s="9" t="s">
        <v>976</v>
      </c>
      <c r="P12" s="9" t="s">
        <v>977</v>
      </c>
      <c r="Q12" s="10">
        <v>24260</v>
      </c>
      <c r="R12" s="10">
        <v>3614</v>
      </c>
      <c r="S12" s="11">
        <v>1361.59</v>
      </c>
      <c r="T12" s="3" t="b">
        <v>1</v>
      </c>
      <c r="U12" s="3" t="b">
        <v>0</v>
      </c>
      <c r="V12" s="3" t="b">
        <v>1</v>
      </c>
    </row>
    <row r="13" spans="1:22" ht="75" x14ac:dyDescent="0.25">
      <c r="A13" s="3" t="s">
        <v>666</v>
      </c>
      <c r="B13" s="3">
        <v>5</v>
      </c>
      <c r="C13" s="4" t="s">
        <v>23</v>
      </c>
      <c r="D13" s="4" t="s">
        <v>61</v>
      </c>
      <c r="E13" s="3" t="s">
        <v>72</v>
      </c>
      <c r="F13" s="4" t="s">
        <v>705</v>
      </c>
      <c r="G13" s="5"/>
      <c r="H13" s="4" t="s">
        <v>27</v>
      </c>
      <c r="I13" s="6" t="s">
        <v>35</v>
      </c>
      <c r="J13" s="7">
        <v>3</v>
      </c>
      <c r="K13" s="8"/>
      <c r="L13" s="9"/>
      <c r="M13" s="9" t="s">
        <v>1017</v>
      </c>
      <c r="N13" s="9" t="s">
        <v>811</v>
      </c>
      <c r="O13" s="9" t="s">
        <v>979</v>
      </c>
      <c r="P13" s="9" t="s">
        <v>813</v>
      </c>
      <c r="Q13" s="10">
        <v>24260</v>
      </c>
      <c r="R13" s="10">
        <v>3614</v>
      </c>
      <c r="S13" s="11">
        <v>1361.59</v>
      </c>
      <c r="T13" s="3" t="b">
        <v>1</v>
      </c>
      <c r="U13" s="3" t="b">
        <v>0</v>
      </c>
      <c r="V13" s="3" t="b">
        <v>1</v>
      </c>
    </row>
    <row r="14" spans="1:22" ht="75" x14ac:dyDescent="0.25">
      <c r="A14" s="3" t="s">
        <v>666</v>
      </c>
      <c r="B14" s="3">
        <v>5</v>
      </c>
      <c r="C14" s="4" t="s">
        <v>23</v>
      </c>
      <c r="D14" s="4" t="s">
        <v>61</v>
      </c>
      <c r="E14" s="3" t="s">
        <v>77</v>
      </c>
      <c r="F14" s="4" t="s">
        <v>78</v>
      </c>
      <c r="G14" s="5"/>
      <c r="H14" s="4" t="s">
        <v>27</v>
      </c>
      <c r="I14" s="6" t="s">
        <v>35</v>
      </c>
      <c r="J14" s="7">
        <v>3</v>
      </c>
      <c r="K14" s="8"/>
      <c r="L14" s="9"/>
      <c r="M14" s="9" t="s">
        <v>1018</v>
      </c>
      <c r="N14" s="9" t="s">
        <v>811</v>
      </c>
      <c r="O14" s="9" t="s">
        <v>1019</v>
      </c>
      <c r="P14" s="9" t="s">
        <v>816</v>
      </c>
      <c r="Q14" s="10">
        <v>24260</v>
      </c>
      <c r="R14" s="10">
        <v>3614</v>
      </c>
      <c r="S14" s="11">
        <v>1361.59</v>
      </c>
      <c r="T14" s="3" t="b">
        <v>1</v>
      </c>
      <c r="U14" s="3" t="b">
        <v>0</v>
      </c>
      <c r="V14" s="3" t="b">
        <v>1</v>
      </c>
    </row>
    <row r="15" spans="1:22" ht="75" x14ac:dyDescent="0.25">
      <c r="A15" s="3" t="s">
        <v>666</v>
      </c>
      <c r="B15" s="3">
        <v>5</v>
      </c>
      <c r="C15" s="4" t="s">
        <v>23</v>
      </c>
      <c r="D15" s="4" t="s">
        <v>61</v>
      </c>
      <c r="E15" s="3" t="s">
        <v>82</v>
      </c>
      <c r="F15" s="4" t="s">
        <v>83</v>
      </c>
      <c r="G15" s="5"/>
      <c r="H15" s="4" t="s">
        <v>27</v>
      </c>
      <c r="I15" s="6" t="s">
        <v>35</v>
      </c>
      <c r="J15" s="7">
        <v>4</v>
      </c>
      <c r="K15" s="8"/>
      <c r="L15" s="9"/>
      <c r="M15" s="9" t="s">
        <v>1020</v>
      </c>
      <c r="N15" s="9" t="s">
        <v>811</v>
      </c>
      <c r="O15" s="9" t="s">
        <v>1021</v>
      </c>
      <c r="P15" s="9" t="s">
        <v>983</v>
      </c>
      <c r="Q15" s="10">
        <v>24260</v>
      </c>
      <c r="R15" s="10">
        <v>3614</v>
      </c>
      <c r="S15" s="11">
        <v>1361.59</v>
      </c>
      <c r="T15" s="3" t="b">
        <v>1</v>
      </c>
      <c r="U15" s="3" t="b">
        <v>0</v>
      </c>
      <c r="V15" s="3" t="b">
        <v>1</v>
      </c>
    </row>
    <row r="16" spans="1:22" ht="75" x14ac:dyDescent="0.25">
      <c r="A16" s="3" t="s">
        <v>666</v>
      </c>
      <c r="B16" s="3">
        <v>5</v>
      </c>
      <c r="C16" s="4" t="s">
        <v>23</v>
      </c>
      <c r="D16" s="4" t="s">
        <v>61</v>
      </c>
      <c r="E16" s="3" t="s">
        <v>87</v>
      </c>
      <c r="F16" s="4" t="s">
        <v>88</v>
      </c>
      <c r="G16" s="5"/>
      <c r="H16" s="4" t="s">
        <v>27</v>
      </c>
      <c r="I16" s="6" t="s">
        <v>35</v>
      </c>
      <c r="J16" s="7">
        <v>4</v>
      </c>
      <c r="K16" s="8"/>
      <c r="L16" s="9"/>
      <c r="M16" s="9" t="s">
        <v>1022</v>
      </c>
      <c r="N16" s="9" t="s">
        <v>811</v>
      </c>
      <c r="O16" s="9" t="s">
        <v>985</v>
      </c>
      <c r="P16" s="9" t="s">
        <v>822</v>
      </c>
      <c r="Q16" s="10">
        <v>24260</v>
      </c>
      <c r="R16" s="10">
        <v>3614</v>
      </c>
      <c r="S16" s="11">
        <v>1361.59</v>
      </c>
      <c r="T16" s="3" t="b">
        <v>1</v>
      </c>
      <c r="U16" s="3" t="b">
        <v>0</v>
      </c>
      <c r="V16" s="3" t="b">
        <v>1</v>
      </c>
    </row>
    <row r="17" spans="1:22" ht="75" x14ac:dyDescent="0.25">
      <c r="A17" s="3" t="s">
        <v>666</v>
      </c>
      <c r="B17" s="3">
        <v>5</v>
      </c>
      <c r="C17" s="4" t="s">
        <v>23</v>
      </c>
      <c r="D17" s="4" t="s">
        <v>61</v>
      </c>
      <c r="E17" s="3" t="s">
        <v>92</v>
      </c>
      <c r="F17" s="4" t="s">
        <v>718</v>
      </c>
      <c r="G17" s="5"/>
      <c r="H17" s="4" t="s">
        <v>27</v>
      </c>
      <c r="I17" s="6" t="s">
        <v>35</v>
      </c>
      <c r="J17" s="7">
        <v>2</v>
      </c>
      <c r="K17" s="8"/>
      <c r="L17" s="9"/>
      <c r="M17" s="9" t="s">
        <v>1023</v>
      </c>
      <c r="N17" s="9" t="s">
        <v>307</v>
      </c>
      <c r="O17" s="9" t="s">
        <v>987</v>
      </c>
      <c r="P17" s="9" t="s">
        <v>988</v>
      </c>
      <c r="Q17" s="10">
        <v>24260</v>
      </c>
      <c r="R17" s="10">
        <v>3614</v>
      </c>
      <c r="S17" s="11">
        <v>1361.59</v>
      </c>
      <c r="T17" s="3" t="b">
        <v>1</v>
      </c>
      <c r="U17" s="3" t="b">
        <v>0</v>
      </c>
      <c r="V17" s="3" t="b">
        <v>1</v>
      </c>
    </row>
    <row r="18" spans="1:22" ht="75" x14ac:dyDescent="0.25">
      <c r="A18" s="3" t="s">
        <v>666</v>
      </c>
      <c r="B18" s="3">
        <v>5</v>
      </c>
      <c r="C18" s="4" t="s">
        <v>23</v>
      </c>
      <c r="D18" s="4" t="s">
        <v>61</v>
      </c>
      <c r="E18" s="3" t="s">
        <v>723</v>
      </c>
      <c r="F18" s="4" t="s">
        <v>724</v>
      </c>
      <c r="G18" s="5"/>
      <c r="H18" s="4" t="s">
        <v>27</v>
      </c>
      <c r="I18" s="6" t="s">
        <v>35</v>
      </c>
      <c r="J18" s="7">
        <v>2</v>
      </c>
      <c r="K18" s="8"/>
      <c r="L18" s="9"/>
      <c r="M18" s="9" t="s">
        <v>1024</v>
      </c>
      <c r="N18" s="9" t="s">
        <v>811</v>
      </c>
      <c r="O18" s="9" t="s">
        <v>990</v>
      </c>
      <c r="P18" s="9" t="s">
        <v>991</v>
      </c>
      <c r="Q18" s="10">
        <v>24260</v>
      </c>
      <c r="R18" s="10">
        <v>3614</v>
      </c>
      <c r="S18" s="11">
        <v>1361.59</v>
      </c>
      <c r="T18" s="3" t="b">
        <v>1</v>
      </c>
      <c r="U18" s="3" t="b">
        <v>0</v>
      </c>
      <c r="V18" s="3" t="b">
        <v>1</v>
      </c>
    </row>
    <row r="19" spans="1:22" ht="75" x14ac:dyDescent="0.25">
      <c r="A19" s="3" t="s">
        <v>666</v>
      </c>
      <c r="B19" s="3">
        <v>5</v>
      </c>
      <c r="C19" s="4" t="s">
        <v>23</v>
      </c>
      <c r="D19" s="4" t="s">
        <v>61</v>
      </c>
      <c r="E19" s="3" t="s">
        <v>97</v>
      </c>
      <c r="F19" s="4" t="s">
        <v>728</v>
      </c>
      <c r="G19" s="5"/>
      <c r="H19" s="4" t="s">
        <v>27</v>
      </c>
      <c r="I19" s="6" t="s">
        <v>35</v>
      </c>
      <c r="J19" s="7">
        <v>3</v>
      </c>
      <c r="K19" s="8"/>
      <c r="L19" s="9"/>
      <c r="M19" s="9" t="s">
        <v>1025</v>
      </c>
      <c r="N19" s="9" t="s">
        <v>811</v>
      </c>
      <c r="O19" s="9" t="s">
        <v>993</v>
      </c>
      <c r="P19" s="9" t="s">
        <v>994</v>
      </c>
      <c r="Q19" s="10">
        <v>24260</v>
      </c>
      <c r="R19" s="10">
        <v>3614</v>
      </c>
      <c r="S19" s="11">
        <v>1361.59</v>
      </c>
      <c r="T19" s="3" t="b">
        <v>1</v>
      </c>
      <c r="U19" s="3" t="b">
        <v>0</v>
      </c>
      <c r="V19" s="3" t="b">
        <v>1</v>
      </c>
    </row>
    <row r="20" spans="1:22" ht="75" x14ac:dyDescent="0.25">
      <c r="A20" s="3" t="s">
        <v>666</v>
      </c>
      <c r="B20" s="3">
        <v>5</v>
      </c>
      <c r="C20" s="4" t="s">
        <v>23</v>
      </c>
      <c r="D20" s="4" t="s">
        <v>61</v>
      </c>
      <c r="E20" s="3" t="s">
        <v>102</v>
      </c>
      <c r="F20" s="4" t="s">
        <v>732</v>
      </c>
      <c r="G20" s="5"/>
      <c r="H20" s="4" t="s">
        <v>27</v>
      </c>
      <c r="I20" s="6" t="s">
        <v>35</v>
      </c>
      <c r="J20" s="7">
        <v>2</v>
      </c>
      <c r="K20" s="8"/>
      <c r="L20" s="9"/>
      <c r="M20" s="9" t="s">
        <v>1026</v>
      </c>
      <c r="N20" s="9" t="s">
        <v>307</v>
      </c>
      <c r="O20" s="9" t="s">
        <v>996</v>
      </c>
      <c r="P20" s="9" t="s">
        <v>735</v>
      </c>
      <c r="Q20" s="10">
        <v>24260</v>
      </c>
      <c r="R20" s="10">
        <v>3614</v>
      </c>
      <c r="S20" s="11">
        <v>1361.59</v>
      </c>
      <c r="T20" s="3" t="b">
        <v>1</v>
      </c>
      <c r="U20" s="3" t="b">
        <v>0</v>
      </c>
      <c r="V20" s="3" t="b">
        <v>1</v>
      </c>
    </row>
    <row r="21" spans="1:22" ht="75" x14ac:dyDescent="0.25">
      <c r="A21" s="3" t="s">
        <v>666</v>
      </c>
      <c r="B21" s="3">
        <v>5</v>
      </c>
      <c r="C21" s="4" t="s">
        <v>23</v>
      </c>
      <c r="D21" s="4" t="s">
        <v>61</v>
      </c>
      <c r="E21" s="3" t="s">
        <v>107</v>
      </c>
      <c r="F21" s="4" t="s">
        <v>93</v>
      </c>
      <c r="G21" s="5"/>
      <c r="H21" s="4" t="s">
        <v>27</v>
      </c>
      <c r="I21" s="6" t="s">
        <v>35</v>
      </c>
      <c r="J21" s="7">
        <v>5</v>
      </c>
      <c r="K21" s="8"/>
      <c r="L21" s="9"/>
      <c r="M21" s="9" t="s">
        <v>1027</v>
      </c>
      <c r="N21" s="9" t="s">
        <v>307</v>
      </c>
      <c r="O21" s="9" t="s">
        <v>999</v>
      </c>
      <c r="P21" s="9" t="s">
        <v>1000</v>
      </c>
      <c r="Q21" s="10">
        <v>24260</v>
      </c>
      <c r="R21" s="10">
        <v>3614</v>
      </c>
      <c r="S21" s="11">
        <v>1361.59</v>
      </c>
      <c r="T21" s="3" t="b">
        <v>1</v>
      </c>
      <c r="U21" s="3" t="b">
        <v>0</v>
      </c>
      <c r="V21" s="3" t="b">
        <v>1</v>
      </c>
    </row>
    <row r="22" spans="1:22" ht="75" x14ac:dyDescent="0.25">
      <c r="A22" s="3" t="s">
        <v>666</v>
      </c>
      <c r="B22" s="3">
        <v>5</v>
      </c>
      <c r="C22" s="4" t="s">
        <v>23</v>
      </c>
      <c r="D22" s="4" t="s">
        <v>112</v>
      </c>
      <c r="E22" s="3"/>
      <c r="F22" s="4"/>
      <c r="G22" s="5"/>
      <c r="H22" s="4"/>
      <c r="I22" s="6"/>
      <c r="J22" s="7"/>
      <c r="K22" s="8"/>
      <c r="L22" s="9"/>
      <c r="M22" s="9"/>
      <c r="N22" s="9"/>
      <c r="O22" s="9"/>
      <c r="P22" s="9"/>
      <c r="Q22" s="10">
        <v>28099</v>
      </c>
      <c r="R22" s="10">
        <v>3901</v>
      </c>
      <c r="S22" s="11">
        <v>1562.31</v>
      </c>
      <c r="T22" s="3" t="b">
        <v>0</v>
      </c>
      <c r="U22" s="3" t="b">
        <v>1</v>
      </c>
      <c r="V22" s="3" t="b">
        <v>1</v>
      </c>
    </row>
    <row r="23" spans="1:22" ht="75" x14ac:dyDescent="0.25">
      <c r="A23" s="3" t="s">
        <v>666</v>
      </c>
      <c r="B23" s="3">
        <v>5</v>
      </c>
      <c r="C23" s="4" t="s">
        <v>23</v>
      </c>
      <c r="D23" s="4" t="s">
        <v>150</v>
      </c>
      <c r="E23" s="3"/>
      <c r="F23" s="4"/>
      <c r="G23" s="5"/>
      <c r="H23" s="4"/>
      <c r="I23" s="6"/>
      <c r="J23" s="7"/>
      <c r="K23" s="8"/>
      <c r="L23" s="9"/>
      <c r="M23" s="9"/>
      <c r="N23" s="9"/>
      <c r="O23" s="9"/>
      <c r="P23" s="9"/>
      <c r="Q23" s="10">
        <v>27044</v>
      </c>
      <c r="R23" s="10">
        <v>4956</v>
      </c>
      <c r="S23" s="11">
        <v>1986.74</v>
      </c>
      <c r="T23" s="3" t="b">
        <v>0</v>
      </c>
      <c r="U23" s="3" t="b">
        <v>1</v>
      </c>
      <c r="V23" s="3" t="b">
        <v>1</v>
      </c>
    </row>
    <row r="24" spans="1:22" ht="75" x14ac:dyDescent="0.25">
      <c r="A24" s="3" t="s">
        <v>666</v>
      </c>
      <c r="B24" s="3">
        <v>5</v>
      </c>
      <c r="C24" s="4" t="s">
        <v>23</v>
      </c>
      <c r="D24" s="4" t="s">
        <v>221</v>
      </c>
      <c r="E24" s="3" t="s">
        <v>222</v>
      </c>
      <c r="F24" s="4" t="s">
        <v>739</v>
      </c>
      <c r="G24" s="5"/>
      <c r="H24" s="4" t="s">
        <v>27</v>
      </c>
      <c r="I24" s="6"/>
      <c r="J24" s="7"/>
      <c r="K24" s="8"/>
      <c r="L24" s="9" t="s">
        <v>740</v>
      </c>
      <c r="M24" s="9" t="s">
        <v>1028</v>
      </c>
      <c r="N24" s="9"/>
      <c r="O24" s="9" t="s">
        <v>1029</v>
      </c>
      <c r="P24" s="9" t="s">
        <v>1030</v>
      </c>
      <c r="Q24" s="10">
        <v>26530</v>
      </c>
      <c r="R24" s="10">
        <v>2672</v>
      </c>
      <c r="S24" s="11">
        <v>989.57</v>
      </c>
      <c r="T24" s="3" t="b">
        <v>1</v>
      </c>
      <c r="U24" s="3" t="b">
        <v>0</v>
      </c>
      <c r="V24" s="3" t="b">
        <v>1</v>
      </c>
    </row>
    <row r="25" spans="1:22" ht="75" x14ac:dyDescent="0.25">
      <c r="A25" s="3" t="s">
        <v>666</v>
      </c>
      <c r="B25" s="3">
        <v>5</v>
      </c>
      <c r="C25" s="4" t="s">
        <v>23</v>
      </c>
      <c r="D25" s="4" t="s">
        <v>221</v>
      </c>
      <c r="E25" s="3" t="s">
        <v>227</v>
      </c>
      <c r="F25" s="4" t="s">
        <v>228</v>
      </c>
      <c r="G25" s="5"/>
      <c r="H25" s="4" t="s">
        <v>27</v>
      </c>
      <c r="I25" s="6"/>
      <c r="J25" s="7"/>
      <c r="K25" s="8"/>
      <c r="L25" s="9" t="s">
        <v>740</v>
      </c>
      <c r="M25" s="9" t="s">
        <v>1031</v>
      </c>
      <c r="N25" s="9"/>
      <c r="O25" s="9" t="s">
        <v>1032</v>
      </c>
      <c r="P25" s="9" t="s">
        <v>1033</v>
      </c>
      <c r="Q25" s="10">
        <v>26530</v>
      </c>
      <c r="R25" s="10">
        <v>2672</v>
      </c>
      <c r="S25" s="11">
        <v>989.57</v>
      </c>
      <c r="T25" s="3" t="b">
        <v>1</v>
      </c>
      <c r="U25" s="3" t="b">
        <v>0</v>
      </c>
      <c r="V25" s="3" t="b">
        <v>1</v>
      </c>
    </row>
    <row r="26" spans="1:22" ht="75" x14ac:dyDescent="0.25">
      <c r="A26" s="3" t="s">
        <v>666</v>
      </c>
      <c r="B26" s="3">
        <v>5</v>
      </c>
      <c r="C26" s="4" t="s">
        <v>23</v>
      </c>
      <c r="D26" s="4" t="s">
        <v>221</v>
      </c>
      <c r="E26" s="3" t="s">
        <v>232</v>
      </c>
      <c r="F26" s="4" t="s">
        <v>233</v>
      </c>
      <c r="G26" s="5"/>
      <c r="H26" s="4" t="s">
        <v>27</v>
      </c>
      <c r="I26" s="6"/>
      <c r="J26" s="7"/>
      <c r="K26" s="8"/>
      <c r="L26" s="9" t="s">
        <v>747</v>
      </c>
      <c r="M26" s="9" t="s">
        <v>1034</v>
      </c>
      <c r="N26" s="9"/>
      <c r="O26" s="9" t="s">
        <v>1035</v>
      </c>
      <c r="P26" s="9" t="s">
        <v>1036</v>
      </c>
      <c r="Q26" s="10">
        <v>26530</v>
      </c>
      <c r="R26" s="10">
        <v>2672</v>
      </c>
      <c r="S26" s="11">
        <v>989.57</v>
      </c>
      <c r="T26" s="3" t="b">
        <v>1</v>
      </c>
      <c r="U26" s="3" t="b">
        <v>0</v>
      </c>
      <c r="V26" s="3" t="b">
        <v>1</v>
      </c>
    </row>
    <row r="27" spans="1:22" ht="75" x14ac:dyDescent="0.25">
      <c r="A27" s="3" t="s">
        <v>666</v>
      </c>
      <c r="B27" s="3">
        <v>5</v>
      </c>
      <c r="C27" s="4" t="s">
        <v>23</v>
      </c>
      <c r="D27" s="4" t="s">
        <v>221</v>
      </c>
      <c r="E27" s="3" t="s">
        <v>237</v>
      </c>
      <c r="F27" s="4" t="s">
        <v>238</v>
      </c>
      <c r="G27" s="5"/>
      <c r="H27" s="4" t="s">
        <v>27</v>
      </c>
      <c r="I27" s="6"/>
      <c r="J27" s="7"/>
      <c r="K27" s="8"/>
      <c r="L27" s="9" t="s">
        <v>751</v>
      </c>
      <c r="M27" s="9" t="s">
        <v>1037</v>
      </c>
      <c r="N27" s="9"/>
      <c r="O27" s="9" t="s">
        <v>1038</v>
      </c>
      <c r="P27" s="9" t="s">
        <v>1039</v>
      </c>
      <c r="Q27" s="10">
        <v>26530</v>
      </c>
      <c r="R27" s="10">
        <v>2672</v>
      </c>
      <c r="S27" s="11">
        <v>989.57</v>
      </c>
      <c r="T27" s="3" t="b">
        <v>1</v>
      </c>
      <c r="U27" s="3" t="b">
        <v>0</v>
      </c>
      <c r="V27" s="3" t="b">
        <v>1</v>
      </c>
    </row>
    <row r="28" spans="1:22" ht="75" x14ac:dyDescent="0.25">
      <c r="A28" s="3" t="s">
        <v>666</v>
      </c>
      <c r="B28" s="3">
        <v>5</v>
      </c>
      <c r="C28" s="4" t="s">
        <v>23</v>
      </c>
      <c r="D28" s="4" t="s">
        <v>221</v>
      </c>
      <c r="E28" s="3" t="s">
        <v>242</v>
      </c>
      <c r="F28" s="4" t="s">
        <v>243</v>
      </c>
      <c r="G28" s="5"/>
      <c r="H28" s="4" t="s">
        <v>27</v>
      </c>
      <c r="I28" s="6"/>
      <c r="J28" s="7"/>
      <c r="K28" s="8"/>
      <c r="L28" s="9" t="s">
        <v>1004</v>
      </c>
      <c r="M28" s="9" t="s">
        <v>756</v>
      </c>
      <c r="N28" s="9"/>
      <c r="O28" s="9" t="s">
        <v>931</v>
      </c>
      <c r="P28" s="9" t="s">
        <v>1040</v>
      </c>
      <c r="Q28" s="10">
        <v>26530</v>
      </c>
      <c r="R28" s="10">
        <v>2672</v>
      </c>
      <c r="S28" s="11">
        <v>989.57</v>
      </c>
      <c r="T28" s="3" t="b">
        <v>1</v>
      </c>
      <c r="U28" s="3" t="b">
        <v>0</v>
      </c>
      <c r="V28" s="3" t="b">
        <v>1</v>
      </c>
    </row>
    <row r="29" spans="1:22" ht="75" x14ac:dyDescent="0.25">
      <c r="A29" s="3" t="s">
        <v>666</v>
      </c>
      <c r="B29" s="3">
        <v>5</v>
      </c>
      <c r="C29" s="4" t="s">
        <v>23</v>
      </c>
      <c r="D29" s="4" t="s">
        <v>221</v>
      </c>
      <c r="E29" s="3" t="s">
        <v>247</v>
      </c>
      <c r="F29" s="4" t="s">
        <v>248</v>
      </c>
      <c r="G29" s="5"/>
      <c r="H29" s="4" t="s">
        <v>27</v>
      </c>
      <c r="I29" s="6"/>
      <c r="J29" s="7"/>
      <c r="K29" s="8"/>
      <c r="L29" s="9" t="s">
        <v>759</v>
      </c>
      <c r="M29" s="9" t="s">
        <v>1041</v>
      </c>
      <c r="N29" s="9"/>
      <c r="O29" s="9" t="s">
        <v>1042</v>
      </c>
      <c r="P29" s="9" t="s">
        <v>1043</v>
      </c>
      <c r="Q29" s="10">
        <v>26530</v>
      </c>
      <c r="R29" s="10">
        <v>2672</v>
      </c>
      <c r="S29" s="11">
        <v>989.57</v>
      </c>
      <c r="T29" s="3" t="b">
        <v>1</v>
      </c>
      <c r="U29" s="3" t="b">
        <v>0</v>
      </c>
      <c r="V29" s="3" t="b">
        <v>1</v>
      </c>
    </row>
    <row r="30" spans="1:22" ht="75" x14ac:dyDescent="0.25">
      <c r="A30" s="3" t="s">
        <v>666</v>
      </c>
      <c r="B30" s="3">
        <v>5</v>
      </c>
      <c r="C30" s="4" t="s">
        <v>23</v>
      </c>
      <c r="D30" s="4" t="s">
        <v>221</v>
      </c>
      <c r="E30" s="3" t="s">
        <v>252</v>
      </c>
      <c r="F30" s="4" t="s">
        <v>253</v>
      </c>
      <c r="G30" s="5"/>
      <c r="H30" s="4" t="s">
        <v>27</v>
      </c>
      <c r="I30" s="6"/>
      <c r="J30" s="7"/>
      <c r="K30" s="8"/>
      <c r="L30" s="9" t="s">
        <v>763</v>
      </c>
      <c r="M30" s="9" t="s">
        <v>1044</v>
      </c>
      <c r="N30" s="9"/>
      <c r="O30" s="9" t="s">
        <v>1045</v>
      </c>
      <c r="P30" s="9" t="s">
        <v>1046</v>
      </c>
      <c r="Q30" s="10">
        <v>26530</v>
      </c>
      <c r="R30" s="10">
        <v>2672</v>
      </c>
      <c r="S30" s="11">
        <v>989.57</v>
      </c>
      <c r="T30" s="3" t="b">
        <v>1</v>
      </c>
      <c r="U30" s="3" t="b">
        <v>0</v>
      </c>
      <c r="V30" s="3" t="b">
        <v>1</v>
      </c>
    </row>
    <row r="31" spans="1:22" ht="75" x14ac:dyDescent="0.25">
      <c r="A31" s="3" t="s">
        <v>666</v>
      </c>
      <c r="B31" s="3">
        <v>5</v>
      </c>
      <c r="C31" s="4" t="s">
        <v>23</v>
      </c>
      <c r="D31" s="4" t="s">
        <v>221</v>
      </c>
      <c r="E31" s="3" t="s">
        <v>257</v>
      </c>
      <c r="F31" s="4" t="s">
        <v>258</v>
      </c>
      <c r="G31" s="5"/>
      <c r="H31" s="4" t="s">
        <v>27</v>
      </c>
      <c r="I31" s="6"/>
      <c r="J31" s="7"/>
      <c r="K31" s="8"/>
      <c r="L31" s="9" t="s">
        <v>759</v>
      </c>
      <c r="M31" s="9" t="s">
        <v>1047</v>
      </c>
      <c r="N31" s="9"/>
      <c r="O31" s="9" t="s">
        <v>1048</v>
      </c>
      <c r="P31" s="9" t="s">
        <v>1049</v>
      </c>
      <c r="Q31" s="10">
        <v>26530</v>
      </c>
      <c r="R31" s="10">
        <v>2672</v>
      </c>
      <c r="S31" s="11">
        <v>989.57</v>
      </c>
      <c r="T31" s="3" t="b">
        <v>1</v>
      </c>
      <c r="U31" s="3" t="b">
        <v>0</v>
      </c>
      <c r="V31" s="3" t="b">
        <v>1</v>
      </c>
    </row>
    <row r="32" spans="1:22" ht="75" x14ac:dyDescent="0.25">
      <c r="A32" s="3" t="s">
        <v>666</v>
      </c>
      <c r="B32" s="3">
        <v>5</v>
      </c>
      <c r="C32" s="4" t="s">
        <v>23</v>
      </c>
      <c r="D32" s="4" t="s">
        <v>221</v>
      </c>
      <c r="E32" s="3" t="s">
        <v>262</v>
      </c>
      <c r="F32" s="4" t="s">
        <v>263</v>
      </c>
      <c r="G32" s="5"/>
      <c r="H32" s="4" t="s">
        <v>27</v>
      </c>
      <c r="I32" s="6"/>
      <c r="J32" s="7"/>
      <c r="K32" s="8"/>
      <c r="L32" s="9" t="s">
        <v>759</v>
      </c>
      <c r="M32" s="9" t="s">
        <v>1050</v>
      </c>
      <c r="N32" s="9"/>
      <c r="O32" s="9" t="s">
        <v>1051</v>
      </c>
      <c r="P32" s="9" t="s">
        <v>1052</v>
      </c>
      <c r="Q32" s="10">
        <v>26530</v>
      </c>
      <c r="R32" s="10">
        <v>2672</v>
      </c>
      <c r="S32" s="11">
        <v>989.57</v>
      </c>
      <c r="T32" s="3" t="b">
        <v>1</v>
      </c>
      <c r="U32" s="3" t="b">
        <v>0</v>
      </c>
      <c r="V32" s="3" t="b">
        <v>1</v>
      </c>
    </row>
    <row r="33" spans="1:22" ht="75" x14ac:dyDescent="0.25">
      <c r="A33" s="3" t="s">
        <v>666</v>
      </c>
      <c r="B33" s="3">
        <v>5</v>
      </c>
      <c r="C33" s="4" t="s">
        <v>23</v>
      </c>
      <c r="D33" s="4" t="s">
        <v>221</v>
      </c>
      <c r="E33" s="3" t="s">
        <v>267</v>
      </c>
      <c r="F33" s="4" t="s">
        <v>268</v>
      </c>
      <c r="G33" s="5"/>
      <c r="H33" s="4" t="s">
        <v>27</v>
      </c>
      <c r="I33" s="6"/>
      <c r="J33" s="7"/>
      <c r="K33" s="8"/>
      <c r="L33" s="9" t="s">
        <v>773</v>
      </c>
      <c r="M33" s="9" t="s">
        <v>1053</v>
      </c>
      <c r="N33" s="9"/>
      <c r="O33" s="9" t="s">
        <v>1054</v>
      </c>
      <c r="P33" s="9" t="s">
        <v>1055</v>
      </c>
      <c r="Q33" s="10">
        <v>26530</v>
      </c>
      <c r="R33" s="10">
        <v>2672</v>
      </c>
      <c r="S33" s="11">
        <v>989.57</v>
      </c>
      <c r="T33" s="3" t="b">
        <v>1</v>
      </c>
      <c r="U33" s="3" t="b">
        <v>0</v>
      </c>
      <c r="V33" s="3" t="b">
        <v>1</v>
      </c>
    </row>
    <row r="34" spans="1:22" ht="75" x14ac:dyDescent="0.25">
      <c r="A34" s="3" t="s">
        <v>666</v>
      </c>
      <c r="B34" s="3">
        <v>5</v>
      </c>
      <c r="C34" s="4" t="s">
        <v>23</v>
      </c>
      <c r="D34" s="4" t="s">
        <v>221</v>
      </c>
      <c r="E34" s="3" t="s">
        <v>272</v>
      </c>
      <c r="F34" s="4" t="s">
        <v>273</v>
      </c>
      <c r="G34" s="5"/>
      <c r="H34" s="4" t="s">
        <v>27</v>
      </c>
      <c r="I34" s="6"/>
      <c r="J34" s="7"/>
      <c r="K34" s="8"/>
      <c r="L34" s="9" t="s">
        <v>777</v>
      </c>
      <c r="M34" s="9" t="s">
        <v>1056</v>
      </c>
      <c r="N34" s="9"/>
      <c r="O34" s="9" t="s">
        <v>1057</v>
      </c>
      <c r="P34" s="9" t="s">
        <v>1058</v>
      </c>
      <c r="Q34" s="10">
        <v>26530</v>
      </c>
      <c r="R34" s="10">
        <v>2672</v>
      </c>
      <c r="S34" s="11">
        <v>989.57</v>
      </c>
      <c r="T34" s="3" t="b">
        <v>1</v>
      </c>
      <c r="U34" s="3" t="b">
        <v>0</v>
      </c>
      <c r="V34" s="3" t="b">
        <v>1</v>
      </c>
    </row>
    <row r="35" spans="1:22" ht="75" x14ac:dyDescent="0.25">
      <c r="A35" s="3" t="s">
        <v>666</v>
      </c>
      <c r="B35" s="3">
        <v>5</v>
      </c>
      <c r="C35" s="4" t="s">
        <v>23</v>
      </c>
      <c r="D35" s="4" t="s">
        <v>221</v>
      </c>
      <c r="E35" s="3" t="s">
        <v>277</v>
      </c>
      <c r="F35" s="4" t="s">
        <v>278</v>
      </c>
      <c r="G35" s="5"/>
      <c r="H35" s="4" t="s">
        <v>27</v>
      </c>
      <c r="I35" s="6"/>
      <c r="J35" s="7"/>
      <c r="K35" s="8"/>
      <c r="L35" s="9" t="s">
        <v>781</v>
      </c>
      <c r="M35" s="9" t="s">
        <v>1059</v>
      </c>
      <c r="N35" s="9"/>
      <c r="O35" s="9" t="s">
        <v>1060</v>
      </c>
      <c r="P35" s="9" t="s">
        <v>1061</v>
      </c>
      <c r="Q35" s="10">
        <v>26530</v>
      </c>
      <c r="R35" s="10">
        <v>2672</v>
      </c>
      <c r="S35" s="11">
        <v>989.57</v>
      </c>
      <c r="T35" s="3" t="b">
        <v>1</v>
      </c>
      <c r="U35" s="3" t="b">
        <v>0</v>
      </c>
      <c r="V35" s="3" t="b">
        <v>1</v>
      </c>
    </row>
    <row r="36" spans="1:22" ht="75" x14ac:dyDescent="0.25">
      <c r="A36" s="3" t="s">
        <v>666</v>
      </c>
      <c r="B36" s="3">
        <v>5</v>
      </c>
      <c r="C36" s="4" t="s">
        <v>23</v>
      </c>
      <c r="D36" s="4" t="s">
        <v>221</v>
      </c>
      <c r="E36" s="3" t="s">
        <v>282</v>
      </c>
      <c r="F36" s="4" t="s">
        <v>283</v>
      </c>
      <c r="G36" s="5"/>
      <c r="H36" s="4" t="s">
        <v>27</v>
      </c>
      <c r="I36" s="6"/>
      <c r="J36" s="7"/>
      <c r="K36" s="8"/>
      <c r="L36" s="9" t="s">
        <v>1062</v>
      </c>
      <c r="M36" s="9" t="s">
        <v>786</v>
      </c>
      <c r="N36" s="9"/>
      <c r="O36" s="9" t="s">
        <v>1063</v>
      </c>
      <c r="P36" s="9" t="s">
        <v>1064</v>
      </c>
      <c r="Q36" s="10">
        <v>26530</v>
      </c>
      <c r="R36" s="10">
        <v>2672</v>
      </c>
      <c r="S36" s="11">
        <v>989.57</v>
      </c>
      <c r="T36" s="3" t="b">
        <v>1</v>
      </c>
      <c r="U36" s="3" t="b">
        <v>0</v>
      </c>
      <c r="V36" s="3" t="b">
        <v>1</v>
      </c>
    </row>
  </sheetData>
  <autoFilter ref="A1:V36" xr:uid="{00000000-0009-0000-0000-000009000000}"/>
  <conditionalFormatting sqref="D2:D36">
    <cfRule type="containsText" dxfId="107" priority="16" operator="containsText" text="Climate And Resilience">
      <formula>NOT(ISERROR(SEARCH("Climate And Resilience",D2)))</formula>
    </cfRule>
    <cfRule type="containsText" dxfId="106" priority="17" operator="containsText" text="Leadership">
      <formula>NOT(ISERROR(SEARCH("Leadership",D2)))</formula>
    </cfRule>
    <cfRule type="containsText" dxfId="105" priority="18" operator="containsText" text="Natural World">
      <formula>NOT(ISERROR(SEARCH("Natural World",D2)))</formula>
    </cfRule>
    <cfRule type="containsText" dxfId="104" priority="19" operator="containsText" text="Quality Of Life">
      <formula>NOT(ISERROR(SEARCH("Quality Of Life",D2)))</formula>
    </cfRule>
    <cfRule type="containsText" dxfId="103" priority="20" operator="containsText" text="Resource Allocation">
      <formula>NOT(ISERROR(SEARCH("Resource Allocation",D2)))</formula>
    </cfRule>
  </conditionalFormatting>
  <conditionalFormatting sqref="G2:G36">
    <cfRule type="dataBar" priority="21">
      <dataBar>
        <cfvo type="min"/>
        <cfvo type="max"/>
        <color rgb="FF5B9BD5"/>
      </dataBar>
    </cfRule>
  </conditionalFormatting>
  <conditionalFormatting sqref="H2:H36">
    <cfRule type="containsText" dxfId="102" priority="8" operator="containsText" text="Not Applicable">
      <formula>NOT(ISERROR(SEARCH("Not Applicable",H2)))</formula>
    </cfRule>
    <cfRule type="containsText" dxfId="101" priority="9" operator="containsText" text="Applicable">
      <formula>NOT(ISERROR(SEARCH("Applicable",H2)))</formula>
    </cfRule>
  </conditionalFormatting>
  <conditionalFormatting sqref="I2:I36">
    <cfRule type="containsText" dxfId="100" priority="2" operator="containsText" text="No Level">
      <formula>NOT(ISERROR(SEARCH("No Level",I2)))</formula>
    </cfRule>
    <cfRule type="containsText" dxfId="99" priority="3" operator="containsText" text="Improved">
      <formula>NOT(ISERROR(SEARCH("Improved",I2)))</formula>
    </cfRule>
    <cfRule type="containsText" dxfId="98" priority="4" operator="containsText" text="Enhanced">
      <formula>NOT(ISERROR(SEARCH("Enhanced",I2)))</formula>
    </cfRule>
    <cfRule type="containsText" dxfId="97" priority="5" operator="containsText" text="Superior">
      <formula>NOT(ISERROR(SEARCH("Superior",I2)))</formula>
    </cfRule>
    <cfRule type="containsText" dxfId="96" priority="6" operator="containsText" text="Conserving">
      <formula>NOT(ISERROR(SEARCH("Conserving",I2)))</formula>
    </cfRule>
    <cfRule type="containsText" dxfId="95" priority="7" operator="containsText" text="Restorative">
      <formula>NOT(ISERROR(SEARCH("Restorative",I2)))</formula>
    </cfRule>
  </conditionalFormatting>
  <conditionalFormatting sqref="J2:J36">
    <cfRule type="dataBar" priority="22">
      <dataBar>
        <cfvo type="min"/>
        <cfvo type="max"/>
        <color rgb="FF70AD47"/>
      </dataBar>
    </cfRule>
  </conditionalFormatting>
  <conditionalFormatting sqref="K2:K3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36">
    <cfRule type="dataBar" priority="23">
      <dataBar>
        <cfvo type="min"/>
        <cfvo type="max"/>
        <color rgb="FFA5A5A5"/>
      </dataBar>
    </cfRule>
  </conditionalFormatting>
  <conditionalFormatting sqref="S2:S36">
    <cfRule type="dataBar" priority="24">
      <dataBar>
        <cfvo type="min"/>
        <cfvo type="max"/>
        <color rgb="FFED7D31"/>
      </dataBar>
    </cfRule>
  </conditionalFormatting>
  <conditionalFormatting sqref="T2:T36">
    <cfRule type="cellIs" dxfId="94" priority="10" operator="equal">
      <formula>TRUE</formula>
    </cfRule>
    <cfRule type="cellIs" dxfId="93" priority="11" operator="equal">
      <formula>FALSE</formula>
    </cfRule>
  </conditionalFormatting>
  <conditionalFormatting sqref="U2:U36">
    <cfRule type="cellIs" dxfId="92" priority="12" operator="equal">
      <formula>TRUE</formula>
    </cfRule>
    <cfRule type="cellIs" dxfId="91" priority="13" operator="equal">
      <formula>FALSE</formula>
    </cfRule>
  </conditionalFormatting>
  <conditionalFormatting sqref="V2:V36">
    <cfRule type="cellIs" dxfId="90" priority="14" operator="equal">
      <formula>TRUE</formula>
    </cfRule>
    <cfRule type="cellIs" dxfId="89" priority="15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 Comparison</vt:lpstr>
      <vt:lpstr>RAG Run 1</vt:lpstr>
      <vt:lpstr>RAG Run 2</vt:lpstr>
      <vt:lpstr>RAG Run 3</vt:lpstr>
      <vt:lpstr>RAG Run 4</vt:lpstr>
      <vt:lpstr>RAG Run 5</vt:lpstr>
      <vt:lpstr>Zero Shot Run 1</vt:lpstr>
      <vt:lpstr>Zero Shot Run 2</vt:lpstr>
      <vt:lpstr>Zero Shot Run 3</vt:lpstr>
      <vt:lpstr>Zero Shot Run 4</vt:lpstr>
      <vt:lpstr>Zero Shot Run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guilherme.baldessin</dc:creator>
  <cp:lastModifiedBy>Guilherme Quinilato Baldessin</cp:lastModifiedBy>
  <dcterms:created xsi:type="dcterms:W3CDTF">2026-06-16T20:22:24Z</dcterms:created>
  <dcterms:modified xsi:type="dcterms:W3CDTF">2026-07-02T21:05:17Z</dcterms:modified>
</cp:coreProperties>
</file>